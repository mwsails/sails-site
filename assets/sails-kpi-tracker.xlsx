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nnual Summary" sheetId="2" r:id="rId6"/>
    <sheet state="visible" name="Cold Call" sheetId="3" r:id="rId7"/>
    <sheet state="visible" name="Email" sheetId="4" r:id="rId8"/>
    <sheet state="visible" name="LinkedIn" sheetId="5" r:id="rId9"/>
    <sheet state="visible" name="Inbound" sheetId="6" r:id="rId10"/>
    <sheet state="visible" name="Referral" sheetId="7" r:id="rId11"/>
    <sheet state="visible" name="Events" sheetId="8" r:id="rId12"/>
    <sheet state="visible" name="Partner" sheetId="9" r:id="rId13"/>
  </sheets>
  <definedNames/>
  <calcPr/>
</workbook>
</file>

<file path=xl/sharedStrings.xml><?xml version="1.0" encoding="utf-8"?>
<sst xmlns="http://schemas.openxmlformats.org/spreadsheetml/2006/main" count="403" uniqueCount="108">
  <si>
    <t>SAILS — Sales KPI Tracker  ·  Instructions</t>
  </si>
  <si>
    <t>Fill in the yellow cells. Everything else calculates automatically.</t>
  </si>
  <si>
    <t>HOW TO USE</t>
  </si>
  <si>
    <t>Yellow cells</t>
  </si>
  <si>
    <t>Enter your data here. These are the only cells you should edit.</t>
  </si>
  <si>
    <t>Gray cells</t>
  </si>
  <si>
    <t>Auto-calculated conversion rates and revenue. Do not edit.</t>
  </si>
  <si>
    <t>Navy total row</t>
  </si>
  <si>
    <t>Full year totals and rates, calculated from monthly inputs.</t>
  </si>
  <si>
    <t>Estimates</t>
  </si>
  <si>
    <t>Use ~ prefix for estimates (e.g., ~200). Leave blank if you truly don't track it.</t>
  </si>
  <si>
    <t>Blank cells</t>
  </si>
  <si>
    <t>Rate formulas return — when data is missing. That's expected.</t>
  </si>
  <si>
    <t>Rep Breakdown</t>
  </si>
  <si>
    <t>Scroll down on the Cold Call tab for annual rep-level data with auto-calculated rates.</t>
  </si>
  <si>
    <t>Summary tab</t>
  </si>
  <si>
    <t>Annual Summary pulls automatically from all 7 channel tabs — do not edit it directly.</t>
  </si>
  <si>
    <t>METRIC DEFINITIONS BY CHANNEL</t>
  </si>
  <si>
    <t>Cold Call</t>
  </si>
  <si>
    <t>Dials → Connects → Sets (SALs) → Demos (SQLs) → Opps (SQOs) → Closed Won</t>
  </si>
  <si>
    <t>Rates: Connect Rate (Connects/Dials), Set Rate (Sets/Connects), Demo Rate, Opp Rate, Close Rate</t>
  </si>
  <si>
    <t>Email</t>
  </si>
  <si>
    <t>Sent → Replies → Sets (SALs) → Demos (SQLs) → Opps (SQOs) → Closed Won</t>
  </si>
  <si>
    <t>Rates: Reply Rate (Replies/Sent), Set Rate (Sets/Replies), Demo Rate, Opp Rate, Close Rate. Note: Opens/clicks excluded — open rate is unreliable post-Apple MPP; reply rate is the actionable signal.</t>
  </si>
  <si>
    <t>LinkedIn</t>
  </si>
  <si>
    <t>Rates: Reply Rate (Replies/Sent), Set Rate (Sets/Replies), Demo Rate, Opp Rate, Close Rate. 'Sent' = messages sent (connection requests + DMs combined or just DMs — be consistent).</t>
  </si>
  <si>
    <t>Inbound</t>
  </si>
  <si>
    <t>Leads → MQLs → Sets (SALs) → Demos (SQLs) → Opps (SQOs) → Closed Won</t>
  </si>
  <si>
    <t>Rates: MQL Rate (MQLs/Leads), Set Rate (Sets/MQLs), Demo Rate, Opp Rate, Close Rate. MQLs = leads that met your qualification threshold (form fill + criteria, or scored above threshold).</t>
  </si>
  <si>
    <t>Referral</t>
  </si>
  <si>
    <t>Referrals Received → Sets (SALs) → Demos (SQLs) → Opps (SQOs) → Closed Won</t>
  </si>
  <si>
    <t>Rates: Set Rate (Sets/Referrals), Demo Rate, Opp Rate, Close Rate. Short funnel — referrals typically move straight to a meeting without a connect step.</t>
  </si>
  <si>
    <t>Events</t>
  </si>
  <si>
    <t>Contacts Made → Follow-Ups Sent → Sets (SALs) → Demos (SQLs) → Opps (SQOs) → Closed Won</t>
  </si>
  <si>
    <t>Rates: Follow-Up Rate (Follow-Ups/Contacts), Set Rate (Sets/Follow-Ups), Demo Rate, Opp Rate, Close Rate. Count contacts made at the event, then follow-up outreach as the next step.</t>
  </si>
  <si>
    <t>Partner</t>
  </si>
  <si>
    <t>Partner Leads → Sets (SALs) → Demos (SQLs) → Opps (SQOs) → Closed Won</t>
  </si>
  <si>
    <t>Rates: Set Rate (Sets/Partner Leads), Demo Rate, Opp Rate, Close Rate. Partner leads are sourced by the partner — your funnel starts when the lead arrives.</t>
  </si>
  <si>
    <t>SAILS — Annual Channel Summary</t>
  </si>
  <si>
    <t>▸  VOLUME METRICS  (sourced from channel tabs)</t>
  </si>
  <si>
    <t>▸  CONVERSION RATES &amp; REVENUE  (auto-calculated)</t>
  </si>
  <si>
    <t>Channel</t>
  </si>
  <si>
    <t>Vol 1
(Top of
Funnel)</t>
  </si>
  <si>
    <t>Vol 2
(Mid
Funnel)</t>
  </si>
  <si>
    <t>Sets
(SALs)</t>
  </si>
  <si>
    <t>Demos
(SQLs)</t>
  </si>
  <si>
    <t>Opps
(SQOs)</t>
  </si>
  <si>
    <t>Closed
Won</t>
  </si>
  <si>
    <t>Avg ARPA
($)</t>
  </si>
  <si>
    <t>Avg Cycle
(days)</t>
  </si>
  <si>
    <t>Rate 1
(see note)</t>
  </si>
  <si>
    <t>Set
Rate</t>
  </si>
  <si>
    <t>Keep
Rate</t>
  </si>
  <si>
    <t>Opp
Rate</t>
  </si>
  <si>
    <t>Close
Rate</t>
  </si>
  <si>
    <t>Revenue
($)</t>
  </si>
  <si>
    <t>Outbound — Cold Call</t>
  </si>
  <si>
    <t>Outbound — Email</t>
  </si>
  <si>
    <t>Outbound — LinkedIn / Social</t>
  </si>
  <si>
    <t>Inbound / Marketing</t>
  </si>
  <si>
    <t>Referral / Word of Mouth</t>
  </si>
  <si>
    <t>Events / Conferences</t>
  </si>
  <si>
    <t>Partner / Channel</t>
  </si>
  <si>
    <t>ALL CHANNELS COMBINED</t>
  </si>
  <si>
    <t xml:space="preserve">  ⓘ  Rate 1 is channel-specific: Cold Call = Connect Rate  ·  Email &amp; LinkedIn = Reply Rate  ·  Inbound = MQL Rate  ·  Events = Follow-Up Rate  ·  Referral &amp; Partner = N/A (see Set Rate)</t>
  </si>
  <si>
    <t>CLOSED WON BY CHANNEL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</si>
  <si>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</si>
  <si>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</si>
  <si>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</si>
  <si>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</si>
  <si>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</si>
  <si>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</si>
  <si>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</si>
  <si>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</si>
  <si>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</si>
  <si>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</si>
  <si>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</si>
  <si>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</si>
  <si>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</si>
  <si>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ALL CHANNELS</t>
  </si>
  <si>
    <t>▸  INPUT DATA  (yellow cells)</t>
  </si>
  <si>
    <t>▸  AUTO-CALCULATED  (do not edit)</t>
  </si>
  <si>
    <t>Month</t>
  </si>
  <si>
    <t>Dials</t>
  </si>
  <si>
    <t>Connects</t>
  </si>
  <si>
    <t>ARPA ($)</t>
  </si>
  <si>
    <t>Sales Cycle
(days)</t>
  </si>
  <si>
    <t>Connect
Rate</t>
  </si>
  <si>
    <t>Revenue ($)</t>
  </si>
  <si>
    <t>Notes / Assumptions</t>
  </si>
  <si>
    <t>VERTICAL BREAKDOWN  ·  Annual Totals by Segment</t>
  </si>
  <si>
    <t>▸  AUTO-CALCULATED</t>
  </si>
  <si>
    <t>Vertical / Segment</t>
  </si>
  <si>
    <t>Total</t>
  </si>
  <si>
    <t>REP BREAKDOWN  ·  Annual Totals by Rep</t>
  </si>
  <si>
    <t>Rep Name</t>
  </si>
  <si>
    <t>Sent</t>
  </si>
  <si>
    <t>Replies</t>
  </si>
  <si>
    <t>Reply
Rate</t>
  </si>
  <si>
    <t>Leads</t>
  </si>
  <si>
    <t>MQLs</t>
  </si>
  <si>
    <t>MQL
Rate</t>
  </si>
  <si>
    <t>Referrals
Received</t>
  </si>
  <si>
    <t>—</t>
  </si>
  <si>
    <t>Contacts
Made</t>
  </si>
  <si>
    <t>Follow-Ups
Sent</t>
  </si>
  <si>
    <t>Follow-Up
Rate</t>
  </si>
  <si>
    <t>Partner
Leads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</si>
</sst>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#,##0.0"/>
    <numFmt numFmtId="166" formatCode="0.0%"/>
  </numFmts>
  <fonts count="23">
    <font>
      <sz val="11.0"/>
      <color theme="1"/>
      <name val="Calibri"/>
      <scheme val="minor"/>
    </font>
    <font>
      <b/>
      <sz val="16.0"/>
      <color rgb="FF1B2A4A"/>
      <name val="Arial"/>
    </font>
    <font>
      <i/>
      <sz val="10.0"/>
      <color rgb="FF6B7280"/>
      <name val="Arial"/>
    </font>
    <font>
      <b/>
      <sz val="10.0"/>
      <color rgb="FFFFFFFF"/>
      <name val="Arial"/>
    </font>
    <font/>
    <font>
      <b/>
      <sz val="10.0"/>
      <color rgb="FF2563EB"/>
      <name val="Arial"/>
    </font>
    <font>
      <sz val="10.0"/>
      <color rgb="FF111111"/>
      <name val="Arial"/>
    </font>
    <font>
      <b/>
      <sz val="10.0"/>
      <color rgb="FF1B2A4A"/>
      <name val="Arial"/>
    </font>
    <font>
      <sz val="11.0"/>
      <color theme="1"/>
      <name val="Calibri"/>
    </font>
    <font>
      <i/>
      <sz val="9.0"/>
      <color rgb="FF6B7280"/>
      <name val="Arial"/>
    </font>
    <font>
      <b/>
      <sz val="14.0"/>
      <color rgb="FFFFFFFF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10.0"/>
      <color rgb="FF065F46"/>
      <name val="Arial"/>
    </font>
    <font>
      <sz val="10.0"/>
      <color rgb="FF991B1B"/>
      <name val="Arial"/>
    </font>
    <font>
      <i/>
      <sz val="8.0"/>
      <color rgb="FF78350F"/>
      <name val="Arial"/>
    </font>
    <font>
      <b/>
      <sz val="9.0"/>
      <color rgb="FF1B2A4A"/>
      <name val="Arial"/>
    </font>
    <font>
      <sz val="9.0"/>
      <color rgb="FF111111"/>
      <name val="Arial"/>
    </font>
    <font>
      <b/>
      <sz val="13.0"/>
      <color rgb="FFFFFFFF"/>
      <name val="Arial"/>
    </font>
    <font>
      <sz val="10.0"/>
      <color rgb="FF1D4ED8"/>
      <name val="Arial"/>
    </font>
    <font>
      <sz val="9.0"/>
      <color rgb="FF1D4ED8"/>
      <name val="Arial"/>
    </font>
    <font>
      <b/>
      <sz val="10.0"/>
      <color rgb="FF1D4ED8"/>
      <name val="Arial"/>
    </font>
    <font>
      <b/>
      <i/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  <fill>
      <patternFill patternType="solid">
        <fgColor rgb="FF047857"/>
        <bgColor rgb="FF047857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  <fill>
      <patternFill patternType="solid">
        <fgColor rgb="FFF3F4F6"/>
        <bgColor rgb="FFF3F4F6"/>
      </patternFill>
    </fill>
  </fills>
  <borders count="14">
    <border/>
    <border>
      <left/>
      <top/>
      <bottom/>
    </border>
    <border>
      <right/>
      <top/>
      <bottom/>
    </border>
    <border>
      <left style="thin">
        <color rgb="FFD1D5DB"/>
      </left>
      <right/>
      <top style="thin">
        <color rgb="FFD1D5DB"/>
      </top>
      <bottom style="thin">
        <color rgb="FFD1D5DB"/>
      </bottom>
    </border>
    <border>
      <left/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/>
      <top style="thin">
        <color rgb="FFD1D5DB"/>
      </top>
      <bottom/>
    </border>
    <border>
      <left/>
      <right style="thin">
        <color rgb="FFD1D5DB"/>
      </right>
      <top style="thin">
        <color rgb="FFD1D5DB"/>
      </top>
      <bottom/>
    </border>
    <border>
      <left style="thin">
        <color rgb="FFD1D5DB"/>
      </left>
      <right/>
      <top/>
      <bottom style="thin">
        <color rgb="FFD1D5DB"/>
      </bottom>
    </border>
    <border>
      <left/>
      <right style="thin">
        <color rgb="FFD1D5DB"/>
      </right>
      <top/>
      <bottom style="thin">
        <color rgb="FFD1D5DB"/>
      </bottom>
    </border>
    <border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2" fillId="0" fontId="4" numFmtId="0" xfId="0" applyBorder="1" applyFont="1"/>
    <xf borderId="3" fillId="3" fontId="5" numFmtId="0" xfId="0" applyAlignment="1" applyBorder="1" applyFill="1" applyFont="1">
      <alignment horizontal="left" shrinkToFit="0" vertical="center" wrapText="0"/>
    </xf>
    <xf borderId="4" fillId="3" fontId="6" numFmtId="0" xfId="0" applyAlignment="1" applyBorder="1" applyFont="1">
      <alignment horizontal="left" shrinkToFit="0" vertical="center" wrapText="1"/>
    </xf>
    <xf borderId="3" fillId="4" fontId="5" numFmtId="0" xfId="0" applyAlignment="1" applyBorder="1" applyFill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0"/>
    </xf>
    <xf borderId="6" fillId="3" fontId="6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shrinkToFit="0" vertical="bottom" wrapText="0"/>
    </xf>
    <xf borderId="8" fillId="3" fontId="9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0"/>
    </xf>
    <xf borderId="6" fillId="4" fontId="6" numFmtId="0" xfId="0" applyAlignment="1" applyBorder="1" applyFont="1">
      <alignment horizontal="left" shrinkToFit="0" vertical="center" wrapText="1"/>
    </xf>
    <xf borderId="7" fillId="4" fontId="8" numFmtId="0" xfId="0" applyAlignment="1" applyBorder="1" applyFont="1">
      <alignment shrinkToFit="0" vertical="bottom" wrapText="0"/>
    </xf>
    <xf borderId="8" fillId="4" fontId="9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" fillId="5" fontId="11" numFmtId="0" xfId="0" applyAlignment="1" applyBorder="1" applyFill="1" applyFont="1">
      <alignment horizontal="left" shrinkToFit="0" vertical="center" wrapText="0"/>
    </xf>
    <xf borderId="1" fillId="6" fontId="11" numFmtId="0" xfId="0" applyAlignment="1" applyBorder="1" applyFill="1" applyFont="1">
      <alignment horizontal="left" shrinkToFit="0" vertical="center" wrapText="0"/>
    </xf>
    <xf borderId="10" fillId="2" fontId="12" numFmtId="0" xfId="0" applyAlignment="1" applyBorder="1" applyFont="1">
      <alignment horizontal="left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6" fontId="12" numFmtId="0" xfId="0" applyAlignment="1" applyBorder="1" applyFont="1">
      <alignment horizontal="center" shrinkToFit="0" vertical="center" wrapText="1"/>
    </xf>
    <xf borderId="10" fillId="6" fontId="12" numFmtId="0" xfId="0" applyAlignment="1" applyBorder="1" applyFont="1">
      <alignment horizontal="center" readingOrder="0" shrinkToFit="0" vertical="center" wrapText="1"/>
    </xf>
    <xf borderId="10" fillId="3" fontId="7" numFmtId="0" xfId="0" applyAlignment="1" applyBorder="1" applyFont="1">
      <alignment horizontal="left" shrinkToFit="0" vertical="center" wrapText="0"/>
    </xf>
    <xf borderId="10" fillId="3" fontId="6" numFmtId="3" xfId="0" applyAlignment="1" applyBorder="1" applyFont="1" applyNumberFormat="1">
      <alignment horizontal="center" shrinkToFit="0" vertical="center" wrapText="0"/>
    </xf>
    <xf borderId="10" fillId="3" fontId="6" numFmtId="164" xfId="0" applyAlignment="1" applyBorder="1" applyFont="1" applyNumberFormat="1">
      <alignment horizontal="center" shrinkToFit="0" vertical="center" wrapText="0"/>
    </xf>
    <xf borderId="10" fillId="3" fontId="6" numFmtId="165" xfId="0" applyAlignment="1" applyBorder="1" applyFont="1" applyNumberFormat="1">
      <alignment horizontal="center" shrinkToFit="0" vertical="center" wrapText="0"/>
    </xf>
    <xf borderId="10" fillId="3" fontId="13" numFmtId="166" xfId="0" applyAlignment="1" applyBorder="1" applyFont="1" applyNumberFormat="1">
      <alignment horizontal="center" shrinkToFit="0" vertical="center" wrapText="0"/>
    </xf>
    <xf borderId="10" fillId="3" fontId="14" numFmtId="164" xfId="0" applyAlignment="1" applyBorder="1" applyFont="1" applyNumberFormat="1">
      <alignment horizontal="center" shrinkToFit="0" vertical="center" wrapText="0"/>
    </xf>
    <xf borderId="10" fillId="4" fontId="7" numFmtId="0" xfId="0" applyAlignment="1" applyBorder="1" applyFont="1">
      <alignment horizontal="left" shrinkToFit="0" vertical="center" wrapText="0"/>
    </xf>
    <xf borderId="10" fillId="4" fontId="6" numFmtId="3" xfId="0" applyAlignment="1" applyBorder="1" applyFont="1" applyNumberFormat="1">
      <alignment horizontal="center" shrinkToFit="0" vertical="center" wrapText="0"/>
    </xf>
    <xf borderId="10" fillId="4" fontId="6" numFmtId="164" xfId="0" applyAlignment="1" applyBorder="1" applyFont="1" applyNumberFormat="1">
      <alignment horizontal="center" shrinkToFit="0" vertical="center" wrapText="0"/>
    </xf>
    <xf borderId="10" fillId="4" fontId="6" numFmtId="165" xfId="0" applyAlignment="1" applyBorder="1" applyFont="1" applyNumberFormat="1">
      <alignment horizontal="center" shrinkToFit="0" vertical="center" wrapText="0"/>
    </xf>
    <xf borderId="10" fillId="4" fontId="13" numFmtId="166" xfId="0" applyAlignment="1" applyBorder="1" applyFont="1" applyNumberFormat="1">
      <alignment horizontal="center" shrinkToFit="0" vertical="center" wrapText="0"/>
    </xf>
    <xf borderId="10" fillId="4" fontId="14" numFmtId="164" xfId="0" applyAlignment="1" applyBorder="1" applyFont="1" applyNumberFormat="1">
      <alignment horizontal="center" shrinkToFit="0" vertical="center" wrapText="0"/>
    </xf>
    <xf borderId="10" fillId="2" fontId="3" numFmtId="0" xfId="0" applyAlignment="1" applyBorder="1" applyFont="1">
      <alignment horizontal="left" shrinkToFit="0" vertical="center" wrapText="0"/>
    </xf>
    <xf borderId="10" fillId="2" fontId="3" numFmtId="3" xfId="0" applyAlignment="1" applyBorder="1" applyFont="1" applyNumberFormat="1">
      <alignment horizontal="center" shrinkToFit="0" vertical="center" wrapText="0"/>
    </xf>
    <xf borderId="10" fillId="2" fontId="3" numFmtId="164" xfId="0" applyAlignment="1" applyBorder="1" applyFont="1" applyNumberFormat="1">
      <alignment horizontal="center" shrinkToFit="0" vertical="center" wrapText="0"/>
    </xf>
    <xf borderId="10" fillId="2" fontId="3" numFmtId="165" xfId="0" applyAlignment="1" applyBorder="1" applyFont="1" applyNumberFormat="1">
      <alignment horizontal="center" shrinkToFit="0" vertical="center" wrapText="0"/>
    </xf>
    <xf borderId="10" fillId="2" fontId="3" numFmtId="166" xfId="0" applyAlignment="1" applyBorder="1" applyFont="1" applyNumberFormat="1">
      <alignment horizontal="center" shrinkToFit="0" vertical="center" wrapText="0"/>
    </xf>
    <xf borderId="1" fillId="7" fontId="15" numFmtId="0" xfId="0" applyAlignment="1" applyBorder="1" applyFill="1" applyFont="1">
      <alignment horizontal="left" shrinkToFit="0" vertical="center" wrapText="0"/>
    </xf>
    <xf borderId="1" fillId="5" fontId="12" numFmtId="0" xfId="0" applyAlignment="1" applyBorder="1" applyFont="1">
      <alignment horizontal="left" shrinkToFit="0" vertical="center" wrapText="0"/>
    </xf>
    <xf borderId="10" fillId="3" fontId="16" numFmtId="0" xfId="0" applyAlignment="1" applyBorder="1" applyFont="1">
      <alignment horizontal="left" shrinkToFit="0" vertical="center" wrapText="0"/>
    </xf>
    <xf borderId="10" fillId="3" fontId="17" numFmtId="3" xfId="0" applyAlignment="1" applyBorder="1" applyFont="1" applyNumberFormat="1">
      <alignment horizontal="center" shrinkToFit="0" vertical="center" wrapText="0"/>
    </xf>
    <xf borderId="10" fillId="3" fontId="16" numFmtId="3" xfId="0" applyAlignment="1" applyBorder="1" applyFont="1" applyNumberFormat="1">
      <alignment horizontal="center" shrinkToFit="0" vertical="center" wrapText="0"/>
    </xf>
    <xf borderId="10" fillId="4" fontId="16" numFmtId="0" xfId="0" applyAlignment="1" applyBorder="1" applyFont="1">
      <alignment horizontal="left" shrinkToFit="0" vertical="center" wrapText="0"/>
    </xf>
    <xf borderId="10" fillId="4" fontId="17" numFmtId="3" xfId="0" applyAlignment="1" applyBorder="1" applyFont="1" applyNumberFormat="1">
      <alignment horizontal="center" shrinkToFit="0" vertical="center" wrapText="0"/>
    </xf>
    <xf borderId="10" fillId="4" fontId="16" numFmtId="3" xfId="0" applyAlignment="1" applyBorder="1" applyFont="1" applyNumberFormat="1">
      <alignment horizontal="center" shrinkToFit="0" vertical="center" wrapText="0"/>
    </xf>
    <xf borderId="1" fillId="2" fontId="18" numFmtId="0" xfId="0" applyAlignment="1" applyBorder="1" applyFont="1">
      <alignment horizontal="left" shrinkToFit="0" vertical="center" wrapText="0"/>
    </xf>
    <xf borderId="10" fillId="8" fontId="19" numFmtId="3" xfId="0" applyAlignment="1" applyBorder="1" applyFill="1" applyFont="1" applyNumberFormat="1">
      <alignment horizontal="center" shrinkToFit="0" vertical="center" wrapText="0"/>
    </xf>
    <xf borderId="10" fillId="8" fontId="19" numFmtId="164" xfId="0" applyAlignment="1" applyBorder="1" applyFont="1" applyNumberFormat="1">
      <alignment horizontal="center" shrinkToFit="0" vertical="center" wrapText="0"/>
    </xf>
    <xf borderId="10" fillId="8" fontId="19" numFmtId="165" xfId="0" applyAlignment="1" applyBorder="1" applyFont="1" applyNumberFormat="1">
      <alignment horizontal="center" shrinkToFit="0" vertical="center" wrapText="0"/>
    </xf>
    <xf borderId="11" fillId="8" fontId="20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10" fillId="8" fontId="21" numFmtId="0" xfId="0" applyAlignment="1" applyBorder="1" applyFont="1">
      <alignment horizontal="left" shrinkToFit="0" vertical="center" wrapText="0"/>
    </xf>
    <xf borderId="10" fillId="9" fontId="2" numFmtId="3" xfId="0" applyAlignment="1" applyBorder="1" applyFill="1" applyFont="1" applyNumberFormat="1">
      <alignment horizontal="center" shrinkToFit="0" vertical="center" wrapText="0"/>
    </xf>
    <xf borderId="10" fillId="3" fontId="2" numFmtId="0" xfId="0" applyAlignment="1" applyBorder="1" applyFont="1">
      <alignment horizontal="center" shrinkToFit="0" vertical="center" wrapText="0"/>
    </xf>
    <xf borderId="10" fillId="4" fontId="2" numFmtId="0" xfId="0" applyAlignment="1" applyBorder="1" applyFont="1">
      <alignment horizontal="center" shrinkToFit="0" vertical="center" wrapText="0"/>
    </xf>
    <xf borderId="10" fillId="2" fontId="2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68.0"/>
    <col customWidth="1" min="4" max="26" width="8.71"/>
  </cols>
  <sheetData>
    <row r="2" ht="30.0" customHeight="1">
      <c r="B2" s="1" t="s">
        <v>0</v>
      </c>
    </row>
    <row r="3" ht="18.0" customHeight="1">
      <c r="B3" s="2" t="s">
        <v>1</v>
      </c>
    </row>
    <row r="4" ht="9.75" customHeight="1"/>
    <row r="5" ht="19.5" customHeight="1">
      <c r="B5" s="3" t="s">
        <v>2</v>
      </c>
      <c r="C5" s="4"/>
    </row>
    <row r="6" ht="21.75" customHeight="1">
      <c r="B6" s="5" t="s">
        <v>3</v>
      </c>
      <c r="C6" s="6" t="s">
        <v>4</v>
      </c>
    </row>
    <row r="7" ht="21.75" customHeight="1">
      <c r="B7" s="7" t="s">
        <v>5</v>
      </c>
      <c r="C7" s="8" t="s">
        <v>6</v>
      </c>
    </row>
    <row r="8" ht="21.75" customHeight="1">
      <c r="B8" s="5" t="s">
        <v>7</v>
      </c>
      <c r="C8" s="6" t="s">
        <v>8</v>
      </c>
    </row>
    <row r="9" ht="21.75" customHeight="1">
      <c r="B9" s="7" t="s">
        <v>9</v>
      </c>
      <c r="C9" s="8" t="s">
        <v>10</v>
      </c>
    </row>
    <row r="10" ht="21.75" customHeight="1">
      <c r="B10" s="5" t="s">
        <v>11</v>
      </c>
      <c r="C10" s="6" t="s">
        <v>12</v>
      </c>
    </row>
    <row r="11" ht="21.75" customHeight="1">
      <c r="B11" s="7" t="s">
        <v>13</v>
      </c>
      <c r="C11" s="8" t="s">
        <v>14</v>
      </c>
    </row>
    <row r="12" ht="21.75" customHeight="1">
      <c r="B12" s="5" t="s">
        <v>15</v>
      </c>
      <c r="C12" s="6" t="s">
        <v>16</v>
      </c>
    </row>
    <row r="13" ht="9.75" customHeight="1"/>
    <row r="14" ht="19.5" customHeight="1">
      <c r="B14" s="3" t="s">
        <v>17</v>
      </c>
      <c r="C14" s="4"/>
    </row>
    <row r="15" ht="18.0" customHeight="1">
      <c r="B15" s="9" t="s">
        <v>18</v>
      </c>
      <c r="C15" s="10" t="s">
        <v>19</v>
      </c>
    </row>
    <row r="16" ht="18.0" customHeight="1">
      <c r="B16" s="11"/>
      <c r="C16" s="12" t="s">
        <v>20</v>
      </c>
    </row>
    <row r="17" ht="9.75" customHeight="1"/>
    <row r="18" ht="18.0" customHeight="1">
      <c r="B18" s="13" t="s">
        <v>21</v>
      </c>
      <c r="C18" s="14" t="s">
        <v>22</v>
      </c>
    </row>
    <row r="19" ht="18.0" customHeight="1">
      <c r="B19" s="15"/>
      <c r="C19" s="16" t="s">
        <v>23</v>
      </c>
    </row>
    <row r="20" ht="9.75" customHeight="1"/>
    <row r="21" ht="18.0" customHeight="1">
      <c r="B21" s="9" t="s">
        <v>24</v>
      </c>
      <c r="C21" s="10" t="s">
        <v>22</v>
      </c>
    </row>
    <row r="22" ht="18.0" customHeight="1">
      <c r="B22" s="11"/>
      <c r="C22" s="12" t="s">
        <v>25</v>
      </c>
    </row>
    <row r="23" ht="9.75" customHeight="1"/>
    <row r="24" ht="18.0" customHeight="1">
      <c r="B24" s="13" t="s">
        <v>26</v>
      </c>
      <c r="C24" s="14" t="s">
        <v>27</v>
      </c>
    </row>
    <row r="25" ht="18.0" customHeight="1">
      <c r="B25" s="15"/>
      <c r="C25" s="16" t="s">
        <v>28</v>
      </c>
    </row>
    <row r="26" ht="9.75" customHeight="1"/>
    <row r="27" ht="18.0" customHeight="1">
      <c r="B27" s="9" t="s">
        <v>29</v>
      </c>
      <c r="C27" s="10" t="s">
        <v>30</v>
      </c>
    </row>
    <row r="28" ht="18.0" customHeight="1">
      <c r="B28" s="11"/>
      <c r="C28" s="12" t="s">
        <v>31</v>
      </c>
    </row>
    <row r="29" ht="9.75" customHeight="1"/>
    <row r="30" ht="18.0" customHeight="1">
      <c r="B30" s="13" t="s">
        <v>32</v>
      </c>
      <c r="C30" s="14" t="s">
        <v>33</v>
      </c>
    </row>
    <row r="31" ht="18.0" customHeight="1">
      <c r="B31" s="15"/>
      <c r="C31" s="16" t="s">
        <v>34</v>
      </c>
    </row>
    <row r="32" ht="9.75" customHeight="1"/>
    <row r="33" ht="18.0" customHeight="1">
      <c r="B33" s="9" t="s">
        <v>35</v>
      </c>
      <c r="C33" s="10" t="s">
        <v>36</v>
      </c>
    </row>
    <row r="34" ht="18.0" customHeight="1">
      <c r="B34" s="11"/>
      <c r="C34" s="12" t="s">
        <v>37</v>
      </c>
    </row>
    <row r="35" ht="9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3:C3"/>
    <mergeCell ref="B5:C5"/>
    <mergeCell ref="B14:C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6.0"/>
    <col customWidth="1" min="2" max="15" width="11.0"/>
    <col customWidth="1" min="16" max="26" width="8.71"/>
  </cols>
  <sheetData>
    <row r="1" ht="25.5" customHeight="1">
      <c r="A1" s="17" t="s">
        <v>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39</v>
      </c>
      <c r="B2" s="18"/>
      <c r="C2" s="18"/>
      <c r="D2" s="18"/>
      <c r="E2" s="18"/>
      <c r="F2" s="18"/>
      <c r="G2" s="18"/>
      <c r="H2" s="18"/>
      <c r="I2" s="4"/>
      <c r="J2" s="20" t="s">
        <v>40</v>
      </c>
      <c r="K2" s="18"/>
      <c r="L2" s="18"/>
      <c r="M2" s="18"/>
      <c r="N2" s="18"/>
      <c r="O2" s="4"/>
    </row>
    <row r="3" ht="33.75" customHeight="1">
      <c r="A3" s="21" t="s">
        <v>41</v>
      </c>
      <c r="B3" s="22" t="s">
        <v>42</v>
      </c>
      <c r="C3" s="22" t="s">
        <v>43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48</v>
      </c>
      <c r="I3" s="22" t="s">
        <v>49</v>
      </c>
      <c r="J3" s="23" t="s">
        <v>50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55</v>
      </c>
    </row>
    <row r="4" ht="19.5" customHeight="1">
      <c r="A4" s="25" t="s">
        <v>56</v>
      </c>
      <c r="B4" s="26">
        <f>'Cold Call'!B17</f>
        <v>0</v>
      </c>
      <c r="C4" s="26">
        <f>'Cold Call'!C17</f>
        <v>0</v>
      </c>
      <c r="D4" s="26">
        <f>'Cold Call'!D17</f>
        <v>0</v>
      </c>
      <c r="E4" s="26">
        <f>'Cold Call'!E17</f>
        <v>0</v>
      </c>
      <c r="F4" s="26">
        <f>'Cold Call'!F17</f>
        <v>0</v>
      </c>
      <c r="G4" s="26">
        <f>'Cold Call'!G17</f>
        <v>0</v>
      </c>
      <c r="H4" s="27" t="str">
        <f>'Cold Call'!H17</f>
        <v>-</v>
      </c>
      <c r="I4" s="28" t="str">
        <f>'Cold Call'!I17</f>
        <v>-</v>
      </c>
      <c r="J4" s="29" t="str">
        <f>'Cold Call'!J17</f>
        <v>-</v>
      </c>
      <c r="K4" s="29" t="str">
        <f>'Cold Call'!K17</f>
        <v>-</v>
      </c>
      <c r="L4" s="29" t="str">
        <f>'Cold Call'!L17</f>
        <v>-</v>
      </c>
      <c r="M4" s="29" t="str">
        <f>'Cold Call'!M17</f>
        <v>-</v>
      </c>
      <c r="N4" s="29" t="str">
        <f>'Cold Call'!N17</f>
        <v>-</v>
      </c>
      <c r="O4" s="30" t="str">
        <f>'Cold Call'!O17</f>
        <v>-</v>
      </c>
    </row>
    <row r="5" ht="19.5" customHeight="1">
      <c r="A5" s="31" t="s">
        <v>57</v>
      </c>
      <c r="B5" s="32">
        <f>Email!B17</f>
        <v>0</v>
      </c>
      <c r="C5" s="32">
        <f>Email!C17</f>
        <v>0</v>
      </c>
      <c r="D5" s="32">
        <f>Email!D17</f>
        <v>0</v>
      </c>
      <c r="E5" s="32">
        <f>Email!E17</f>
        <v>0</v>
      </c>
      <c r="F5" s="32">
        <f>Email!F17</f>
        <v>0</v>
      </c>
      <c r="G5" s="32">
        <f>Email!G17</f>
        <v>0</v>
      </c>
      <c r="H5" s="33" t="str">
        <f>Email!H17</f>
        <v>-</v>
      </c>
      <c r="I5" s="34" t="str">
        <f>Email!I17</f>
        <v>-</v>
      </c>
      <c r="J5" s="35" t="str">
        <f>Email!J17</f>
        <v>-</v>
      </c>
      <c r="K5" s="35" t="str">
        <f>Email!K17</f>
        <v>-</v>
      </c>
      <c r="L5" s="35" t="str">
        <f>Email!L17</f>
        <v>-</v>
      </c>
      <c r="M5" s="35" t="str">
        <f>Email!M17</f>
        <v>-</v>
      </c>
      <c r="N5" s="35" t="str">
        <f>Email!N17</f>
        <v>-</v>
      </c>
      <c r="O5" s="36" t="str">
        <f>Email!O17</f>
        <v>-</v>
      </c>
    </row>
    <row r="6" ht="19.5" customHeight="1">
      <c r="A6" s="25" t="s">
        <v>58</v>
      </c>
      <c r="B6" s="26">
        <f>LinkedIn!B17</f>
        <v>0</v>
      </c>
      <c r="C6" s="26">
        <f>LinkedIn!C17</f>
        <v>0</v>
      </c>
      <c r="D6" s="26">
        <f>LinkedIn!D17</f>
        <v>0</v>
      </c>
      <c r="E6" s="26">
        <f>LinkedIn!E17</f>
        <v>0</v>
      </c>
      <c r="F6" s="26">
        <f>LinkedIn!F17</f>
        <v>0</v>
      </c>
      <c r="G6" s="26">
        <f>LinkedIn!G17</f>
        <v>0</v>
      </c>
      <c r="H6" s="27" t="str">
        <f>LinkedIn!H17</f>
        <v>-</v>
      </c>
      <c r="I6" s="28" t="str">
        <f>LinkedIn!I17</f>
        <v>-</v>
      </c>
      <c r="J6" s="29" t="str">
        <f>LinkedIn!J17</f>
        <v>-</v>
      </c>
      <c r="K6" s="29" t="str">
        <f>LinkedIn!K17</f>
        <v>-</v>
      </c>
      <c r="L6" s="29" t="str">
        <f>LinkedIn!L17</f>
        <v>-</v>
      </c>
      <c r="M6" s="29" t="str">
        <f>LinkedIn!M17</f>
        <v>-</v>
      </c>
      <c r="N6" s="29" t="str">
        <f>LinkedIn!N17</f>
        <v>-</v>
      </c>
      <c r="O6" s="30" t="str">
        <f>LinkedIn!O17</f>
        <v>-</v>
      </c>
    </row>
    <row r="7" ht="19.5" customHeight="1">
      <c r="A7" s="31" t="s">
        <v>59</v>
      </c>
      <c r="B7" s="32">
        <f>Inbound!B17</f>
        <v>0</v>
      </c>
      <c r="C7" s="32">
        <f>Inbound!C17</f>
        <v>0</v>
      </c>
      <c r="D7" s="32">
        <f>Inbound!D17</f>
        <v>0</v>
      </c>
      <c r="E7" s="32">
        <f>Inbound!E17</f>
        <v>0</v>
      </c>
      <c r="F7" s="32">
        <f>Inbound!F17</f>
        <v>0</v>
      </c>
      <c r="G7" s="32">
        <f>Inbound!G17</f>
        <v>0</v>
      </c>
      <c r="H7" s="33" t="str">
        <f>Inbound!H17</f>
        <v>-</v>
      </c>
      <c r="I7" s="34" t="str">
        <f>Inbound!I17</f>
        <v>-</v>
      </c>
      <c r="J7" s="35" t="str">
        <f>Inbound!J17</f>
        <v>-</v>
      </c>
      <c r="K7" s="35" t="str">
        <f>Inbound!K17</f>
        <v>-</v>
      </c>
      <c r="L7" s="35" t="str">
        <f>Inbound!L17</f>
        <v>-</v>
      </c>
      <c r="M7" s="35" t="str">
        <f>Inbound!M17</f>
        <v>-</v>
      </c>
      <c r="N7" s="35" t="str">
        <f>Inbound!N17</f>
        <v>-</v>
      </c>
      <c r="O7" s="36" t="str">
        <f>Inbound!O17</f>
        <v>-</v>
      </c>
    </row>
    <row r="8" ht="19.5" customHeight="1">
      <c r="A8" s="25" t="s">
        <v>60</v>
      </c>
      <c r="B8" s="26">
        <f>Referral!B17</f>
        <v>0</v>
      </c>
      <c r="C8" s="26" t="str">
        <f>Referral!C17</f>
        <v>—</v>
      </c>
      <c r="D8" s="26">
        <f>Referral!D17</f>
        <v>0</v>
      </c>
      <c r="E8" s="26">
        <f>Referral!E17</f>
        <v>0</v>
      </c>
      <c r="F8" s="26">
        <f>Referral!F17</f>
        <v>0</v>
      </c>
      <c r="G8" s="26">
        <f>Referral!G17</f>
        <v>0</v>
      </c>
      <c r="H8" s="27" t="str">
        <f>Referral!H17</f>
        <v>-</v>
      </c>
      <c r="I8" s="28" t="str">
        <f>Referral!I17</f>
        <v>-</v>
      </c>
      <c r="J8" s="29" t="str">
        <f>Referral!J17</f>
        <v>—</v>
      </c>
      <c r="K8" s="29" t="str">
        <f>Referral!K17</f>
        <v>-</v>
      </c>
      <c r="L8" s="29" t="str">
        <f>Referral!L17</f>
        <v>-</v>
      </c>
      <c r="M8" s="29" t="str">
        <f>Referral!M17</f>
        <v>-</v>
      </c>
      <c r="N8" s="29" t="str">
        <f>Referral!N17</f>
        <v>-</v>
      </c>
      <c r="O8" s="30" t="str">
        <f>Referral!O17</f>
        <v>-</v>
      </c>
    </row>
    <row r="9" ht="19.5" customHeight="1">
      <c r="A9" s="31" t="s">
        <v>61</v>
      </c>
      <c r="B9" s="32">
        <f>Events!B17</f>
        <v>0</v>
      </c>
      <c r="C9" s="32">
        <f>Events!C17</f>
        <v>0</v>
      </c>
      <c r="D9" s="32">
        <f>Events!D17</f>
        <v>0</v>
      </c>
      <c r="E9" s="32">
        <f>Events!E17</f>
        <v>0</v>
      </c>
      <c r="F9" s="32">
        <f>Events!F17</f>
        <v>0</v>
      </c>
      <c r="G9" s="32">
        <f>Events!G17</f>
        <v>0</v>
      </c>
      <c r="H9" s="33" t="str">
        <f>Events!H17</f>
        <v>-</v>
      </c>
      <c r="I9" s="34" t="str">
        <f>Events!I17</f>
        <v>-</v>
      </c>
      <c r="J9" s="35" t="str">
        <f>Events!J17</f>
        <v>-</v>
      </c>
      <c r="K9" s="35" t="str">
        <f>Events!K17</f>
        <v>-</v>
      </c>
      <c r="L9" s="35" t="str">
        <f>Events!L17</f>
        <v>-</v>
      </c>
      <c r="M9" s="35" t="str">
        <f>Events!M17</f>
        <v>-</v>
      </c>
      <c r="N9" s="35" t="str">
        <f>Events!N17</f>
        <v>-</v>
      </c>
      <c r="O9" s="36" t="str">
        <f>Events!O17</f>
        <v>-</v>
      </c>
    </row>
    <row r="10" ht="19.5" customHeight="1">
      <c r="A10" s="25" t="s">
        <v>62</v>
      </c>
      <c r="B10" s="26">
        <f>Partner!B17</f>
        <v>0</v>
      </c>
      <c r="C10" s="26" t="str">
        <f>Partner!C17</f>
        <v>—</v>
      </c>
      <c r="D10" s="26">
        <f>Partner!D17</f>
        <v>0</v>
      </c>
      <c r="E10" s="26">
        <f>Partner!E17</f>
        <v>0</v>
      </c>
      <c r="F10" s="26">
        <f>Partner!F17</f>
        <v>0</v>
      </c>
      <c r="G10" s="26">
        <f>Partner!G17</f>
        <v>0</v>
      </c>
      <c r="H10" s="27" t="str">
        <f>Partner!H17</f>
        <v>-</v>
      </c>
      <c r="I10" s="28" t="str">
        <f>Partner!I17</f>
        <v>-</v>
      </c>
      <c r="J10" s="29" t="str">
        <f>Partner!J17</f>
        <v>—</v>
      </c>
      <c r="K10" s="29" t="str">
        <f>Partner!K17</f>
        <v>-</v>
      </c>
      <c r="L10" s="29" t="str">
        <f>Partner!L17</f>
        <v>-</v>
      </c>
      <c r="M10" s="29" t="str">
        <f>Partner!M17</f>
        <v>-</v>
      </c>
      <c r="N10" s="29" t="str">
        <f>Partner!N17</f>
        <v>-</v>
      </c>
      <c r="O10" s="30" t="str">
        <f>Partner!O17</f>
        <v>-</v>
      </c>
    </row>
    <row r="11" ht="4.5" customHeight="1"/>
    <row r="12" ht="21.75" customHeight="1">
      <c r="A12" s="37" t="s">
        <v>63</v>
      </c>
      <c r="B12" s="38">
        <f t="shared" ref="B12:G12" si="1">SUM(B4:B10)</f>
        <v>0</v>
      </c>
      <c r="C12" s="38">
        <f t="shared" si="1"/>
        <v>0</v>
      </c>
      <c r="D12" s="38">
        <f t="shared" si="1"/>
        <v>0</v>
      </c>
      <c r="E12" s="38">
        <f t="shared" si="1"/>
        <v>0</v>
      </c>
      <c r="F12" s="38">
        <f t="shared" si="1"/>
        <v>0</v>
      </c>
      <c r="G12" s="38">
        <f t="shared" si="1"/>
        <v>0</v>
      </c>
      <c r="H12" s="39" t="str">
        <f t="shared" ref="H12:I12" si="2">IFERROR(AVERAGE(H4:H10),"-")</f>
        <v>-</v>
      </c>
      <c r="I12" s="40" t="str">
        <f t="shared" si="2"/>
        <v>-</v>
      </c>
      <c r="J12" s="41" t="str">
        <f t="shared" ref="J12:N12" si="3">IFERROR(C12/B12,"-")</f>
        <v>-</v>
      </c>
      <c r="K12" s="41" t="str">
        <f t="shared" si="3"/>
        <v>-</v>
      </c>
      <c r="L12" s="41" t="str">
        <f t="shared" si="3"/>
        <v>-</v>
      </c>
      <c r="M12" s="41" t="str">
        <f t="shared" si="3"/>
        <v>-</v>
      </c>
      <c r="N12" s="41" t="str">
        <f t="shared" si="3"/>
        <v>-</v>
      </c>
      <c r="O12" s="39" t="str">
        <f>IFERROR(G12*H12,"-")</f>
        <v>-</v>
      </c>
    </row>
    <row r="13" ht="6.0" customHeight="1"/>
    <row r="14" ht="15.75" customHeight="1">
      <c r="A14" s="42" t="s">
        <v>64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4"/>
    </row>
    <row r="15" ht="6.0" customHeight="1"/>
    <row r="16" ht="18.0" customHeight="1">
      <c r="A16" s="43" t="s">
        <v>65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4"/>
    </row>
    <row r="17" ht="18.0" customHeight="1">
      <c r="A17" s="21" t="s">
        <v>41</v>
      </c>
      <c r="B17" s="22" t="s">
        <v>66</v>
      </c>
      <c r="C17" s="22" t="s">
        <v>67</v>
      </c>
      <c r="D17" s="22" t="s">
        <v>68</v>
      </c>
      <c r="E17" s="22" t="s">
        <v>69</v>
      </c>
      <c r="F17" s="22" t="s">
        <v>70</v>
      </c>
      <c r="G17" s="22" t="s">
        <v>71</v>
      </c>
      <c r="H17" s="22" t="s">
        <v>72</v>
      </c>
      <c r="I17" s="22" t="s">
        <v>73</v>
      </c>
      <c r="J17" s="22" t="s">
        <v>74</v>
      </c>
      <c r="K17" s="22" t="s">
        <v>75</v>
      </c>
      <c r="L17" s="22" t="s">
        <v>76</v>
      </c>
      <c r="M17" s="22" t="s">
        <v>77</v>
      </c>
      <c r="N17" s="22" t="s">
        <v>78</v>
      </c>
    </row>
    <row r="18" ht="18.0" customHeight="1">
      <c r="A18" s="44" t="s">
        <v>56</v>
      </c>
      <c r="B18" s="45" t="str">
        <f>'Cold Call'!G4</f>
        <v/>
      </c>
      <c r="C18" s="45" t="str">
        <f>'Cold Call'!G5</f>
        <v/>
      </c>
      <c r="D18" s="45" t="str">
        <f>'Cold Call'!G6</f>
        <v/>
      </c>
      <c r="E18" s="45" t="str">
        <f>'Cold Call'!G7</f>
        <v/>
      </c>
      <c r="F18" s="45" t="str">
        <f>'Cold Call'!G8</f>
        <v/>
      </c>
      <c r="G18" s="45" t="str">
        <f>'Cold Call'!G9</f>
        <v/>
      </c>
      <c r="H18" s="45" t="str">
        <f>'Cold Call'!G10</f>
        <v/>
      </c>
      <c r="I18" s="45" t="str">
        <f>'Cold Call'!G11</f>
        <v/>
      </c>
      <c r="J18" s="45" t="str">
        <f>'Cold Call'!G12</f>
        <v/>
      </c>
      <c r="K18" s="45" t="str">
        <f>'Cold Call'!G13</f>
        <v/>
      </c>
      <c r="L18" s="45" t="str">
        <f>'Cold Call'!G14</f>
        <v/>
      </c>
      <c r="M18" s="45" t="str">
        <f>'Cold Call'!G15</f>
        <v/>
      </c>
      <c r="N18" s="46">
        <f>'Cold Call'!G17</f>
        <v>0</v>
      </c>
    </row>
    <row r="19" ht="18.0" customHeight="1">
      <c r="A19" s="47" t="s">
        <v>57</v>
      </c>
      <c r="B19" s="48" t="str">
        <f>Email!G4</f>
        <v/>
      </c>
      <c r="C19" s="48" t="str">
        <f>Email!G5</f>
        <v/>
      </c>
      <c r="D19" s="48" t="str">
        <f>Email!G6</f>
        <v/>
      </c>
      <c r="E19" s="48" t="str">
        <f>Email!G7</f>
        <v/>
      </c>
      <c r="F19" s="48" t="str">
        <f>Email!G8</f>
        <v/>
      </c>
      <c r="G19" s="48" t="str">
        <f>Email!G9</f>
        <v/>
      </c>
      <c r="H19" s="48" t="str">
        <f>Email!G10</f>
        <v/>
      </c>
      <c r="I19" s="48" t="str">
        <f>Email!G11</f>
        <v/>
      </c>
      <c r="J19" s="48" t="str">
        <f>Email!G12</f>
        <v/>
      </c>
      <c r="K19" s="48" t="str">
        <f>Email!G13</f>
        <v/>
      </c>
      <c r="L19" s="48" t="str">
        <f>Email!G14</f>
        <v/>
      </c>
      <c r="M19" s="48" t="str">
        <f>Email!G15</f>
        <v/>
      </c>
      <c r="N19" s="49">
        <f>Email!G17</f>
        <v>0</v>
      </c>
    </row>
    <row r="20" ht="18.0" customHeight="1">
      <c r="A20" s="44" t="s">
        <v>58</v>
      </c>
      <c r="B20" s="45" t="str">
        <f>LinkedIn!G4</f>
        <v/>
      </c>
      <c r="C20" s="45" t="str">
        <f>LinkedIn!G5</f>
        <v/>
      </c>
      <c r="D20" s="45" t="str">
        <f>LinkedIn!G6</f>
        <v/>
      </c>
      <c r="E20" s="45" t="str">
        <f>LinkedIn!G7</f>
        <v/>
      </c>
      <c r="F20" s="45" t="str">
        <f>LinkedIn!G8</f>
        <v/>
      </c>
      <c r="G20" s="45" t="str">
        <f>LinkedIn!G9</f>
        <v/>
      </c>
      <c r="H20" s="45" t="str">
        <f>LinkedIn!G10</f>
        <v/>
      </c>
      <c r="I20" s="45" t="str">
        <f>LinkedIn!G11</f>
        <v/>
      </c>
      <c r="J20" s="45" t="str">
        <f>LinkedIn!G12</f>
        <v/>
      </c>
      <c r="K20" s="45" t="str">
        <f>LinkedIn!G13</f>
        <v/>
      </c>
      <c r="L20" s="45" t="str">
        <f>LinkedIn!G14</f>
        <v/>
      </c>
      <c r="M20" s="45" t="str">
        <f>LinkedIn!G15</f>
        <v/>
      </c>
      <c r="N20" s="46">
        <f>LinkedIn!G17</f>
        <v>0</v>
      </c>
    </row>
    <row r="21" ht="18.0" customHeight="1">
      <c r="A21" s="47" t="s">
        <v>59</v>
      </c>
      <c r="B21" s="48" t="str">
        <f>Inbound!G4</f>
        <v/>
      </c>
      <c r="C21" s="48" t="str">
        <f>Inbound!G5</f>
        <v/>
      </c>
      <c r="D21" s="48" t="str">
        <f>Inbound!G6</f>
        <v/>
      </c>
      <c r="E21" s="48" t="str">
        <f>Inbound!G7</f>
        <v/>
      </c>
      <c r="F21" s="48" t="str">
        <f>Inbound!G8</f>
        <v/>
      </c>
      <c r="G21" s="48" t="str">
        <f>Inbound!G9</f>
        <v/>
      </c>
      <c r="H21" s="48" t="str">
        <f>Inbound!G10</f>
        <v/>
      </c>
      <c r="I21" s="48" t="str">
        <f>Inbound!G11</f>
        <v/>
      </c>
      <c r="J21" s="48" t="str">
        <f>Inbound!G12</f>
        <v/>
      </c>
      <c r="K21" s="48" t="str">
        <f>Inbound!G13</f>
        <v/>
      </c>
      <c r="L21" s="48" t="str">
        <f>Inbound!G14</f>
        <v/>
      </c>
      <c r="M21" s="48" t="str">
        <f>Inbound!G15</f>
        <v/>
      </c>
      <c r="N21" s="49">
        <f>Inbound!G17</f>
        <v>0</v>
      </c>
    </row>
    <row r="22" ht="18.0" customHeight="1">
      <c r="A22" s="44" t="s">
        <v>60</v>
      </c>
      <c r="B22" s="45" t="str">
        <f>Referral!G4</f>
        <v/>
      </c>
      <c r="C22" s="45" t="str">
        <f>Referral!G5</f>
        <v/>
      </c>
      <c r="D22" s="45" t="str">
        <f>Referral!G6</f>
        <v/>
      </c>
      <c r="E22" s="45" t="str">
        <f>Referral!G7</f>
        <v/>
      </c>
      <c r="F22" s="45" t="str">
        <f>Referral!G8</f>
        <v/>
      </c>
      <c r="G22" s="45" t="str">
        <f>Referral!G9</f>
        <v/>
      </c>
      <c r="H22" s="45" t="str">
        <f>Referral!G10</f>
        <v/>
      </c>
      <c r="I22" s="45" t="str">
        <f>Referral!G11</f>
        <v/>
      </c>
      <c r="J22" s="45" t="str">
        <f>Referral!G12</f>
        <v/>
      </c>
      <c r="K22" s="45" t="str">
        <f>Referral!G13</f>
        <v/>
      </c>
      <c r="L22" s="45" t="str">
        <f>Referral!G14</f>
        <v/>
      </c>
      <c r="M22" s="45" t="str">
        <f>Referral!G15</f>
        <v/>
      </c>
      <c r="N22" s="46">
        <f>Referral!G17</f>
        <v>0</v>
      </c>
    </row>
    <row r="23" ht="18.0" customHeight="1">
      <c r="A23" s="47" t="s">
        <v>61</v>
      </c>
      <c r="B23" s="48" t="str">
        <f>Events!G4</f>
        <v/>
      </c>
      <c r="C23" s="48" t="str">
        <f>Events!G5</f>
        <v/>
      </c>
      <c r="D23" s="48" t="str">
        <f>Events!G6</f>
        <v/>
      </c>
      <c r="E23" s="48" t="str">
        <f>Events!G7</f>
        <v/>
      </c>
      <c r="F23" s="48" t="str">
        <f>Events!G8</f>
        <v/>
      </c>
      <c r="G23" s="48" t="str">
        <f>Events!G9</f>
        <v/>
      </c>
      <c r="H23" s="48" t="str">
        <f>Events!G10</f>
        <v/>
      </c>
      <c r="I23" s="48" t="str">
        <f>Events!G11</f>
        <v/>
      </c>
      <c r="J23" s="48" t="str">
        <f>Events!G12</f>
        <v/>
      </c>
      <c r="K23" s="48" t="str">
        <f>Events!G13</f>
        <v/>
      </c>
      <c r="L23" s="48" t="str">
        <f>Events!G14</f>
        <v/>
      </c>
      <c r="M23" s="48" t="str">
        <f>Events!G15</f>
        <v/>
      </c>
      <c r="N23" s="49">
        <f>Events!G17</f>
        <v>0</v>
      </c>
    </row>
    <row r="24" ht="18.0" customHeight="1">
      <c r="A24" s="44" t="s">
        <v>62</v>
      </c>
      <c r="B24" s="45" t="str">
        <f>Partner!G4</f>
        <v/>
      </c>
      <c r="C24" s="45" t="str">
        <f>Partner!G5</f>
        <v/>
      </c>
      <c r="D24" s="45" t="str">
        <f>Partner!G6</f>
        <v/>
      </c>
      <c r="E24" s="45" t="str">
        <f>Partner!G7</f>
        <v/>
      </c>
      <c r="F24" s="45" t="str">
        <f>Partner!G8</f>
        <v/>
      </c>
      <c r="G24" s="45" t="str">
        <f>Partner!G9</f>
        <v/>
      </c>
      <c r="H24" s="45" t="str">
        <f>Partner!G10</f>
        <v/>
      </c>
      <c r="I24" s="45" t="str">
        <f>Partner!G11</f>
        <v/>
      </c>
      <c r="J24" s="45" t="str">
        <f>Partner!G12</f>
        <v/>
      </c>
      <c r="K24" s="45" t="str">
        <f>Partner!G13</f>
        <v/>
      </c>
      <c r="L24" s="45" t="str">
        <f>Partner!G14</f>
        <v/>
      </c>
      <c r="M24" s="45" t="str">
        <f>Partner!G15</f>
        <v/>
      </c>
      <c r="N24" s="46">
        <f>Partner!G17</f>
        <v>0</v>
      </c>
    </row>
    <row r="25" ht="19.5" customHeight="1">
      <c r="A25" s="37" t="s">
        <v>79</v>
      </c>
      <c r="B25" s="38">
        <f t="shared" ref="B25:N25" si="4">SUM(B18:B24)</f>
        <v>0</v>
      </c>
      <c r="C25" s="38">
        <f t="shared" si="4"/>
        <v>0</v>
      </c>
      <c r="D25" s="38">
        <f t="shared" si="4"/>
        <v>0</v>
      </c>
      <c r="E25" s="38">
        <f t="shared" si="4"/>
        <v>0</v>
      </c>
      <c r="F25" s="38">
        <f t="shared" si="4"/>
        <v>0</v>
      </c>
      <c r="G25" s="38">
        <f t="shared" si="4"/>
        <v>0</v>
      </c>
      <c r="H25" s="38">
        <f t="shared" si="4"/>
        <v>0</v>
      </c>
      <c r="I25" s="38">
        <f t="shared" si="4"/>
        <v>0</v>
      </c>
      <c r="J25" s="38">
        <f t="shared" si="4"/>
        <v>0</v>
      </c>
      <c r="K25" s="38">
        <f t="shared" si="4"/>
        <v>0</v>
      </c>
      <c r="L25" s="38">
        <f t="shared" si="4"/>
        <v>0</v>
      </c>
      <c r="M25" s="38">
        <f t="shared" si="4"/>
        <v>0</v>
      </c>
      <c r="N25" s="38">
        <f t="shared" si="4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A2:I2"/>
    <mergeCell ref="J2:O2"/>
    <mergeCell ref="A14:O14"/>
    <mergeCell ref="A16:N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0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83</v>
      </c>
      <c r="C3" s="22" t="s">
        <v>84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87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1"/>
      <c r="D4" s="51"/>
      <c r="E4" s="51"/>
      <c r="F4" s="51"/>
      <c r="G4" s="51"/>
      <c r="H4" s="52"/>
      <c r="I4" s="53"/>
      <c r="J4" s="29" t="str">
        <f t="shared" ref="J4:N4" si="1">IFERROR(C4/B4,"-")</f>
        <v>-</v>
      </c>
      <c r="K4" s="29" t="str">
        <f t="shared" si="1"/>
        <v>-</v>
      </c>
      <c r="L4" s="29" t="str">
        <f t="shared" si="1"/>
        <v>-</v>
      </c>
      <c r="M4" s="29" t="str">
        <f t="shared" si="1"/>
        <v>-</v>
      </c>
      <c r="N4" s="29" t="str">
        <f t="shared" si="1"/>
        <v>-</v>
      </c>
      <c r="O4" s="30">
        <f t="shared" ref="O4:O15" si="3">IFERROR(G4*H4,"-")</f>
        <v>0</v>
      </c>
    </row>
    <row r="5" ht="18.0" customHeight="1">
      <c r="A5" s="31" t="s">
        <v>67</v>
      </c>
      <c r="B5" s="51"/>
      <c r="C5" s="51"/>
      <c r="D5" s="51"/>
      <c r="E5" s="51"/>
      <c r="F5" s="51"/>
      <c r="G5" s="51"/>
      <c r="H5" s="52"/>
      <c r="I5" s="53"/>
      <c r="J5" s="35" t="str">
        <f t="shared" ref="J5:N5" si="2">IFERROR(C5/B5,"-")</f>
        <v>-</v>
      </c>
      <c r="K5" s="35" t="str">
        <f t="shared" si="2"/>
        <v>-</v>
      </c>
      <c r="L5" s="35" t="str">
        <f t="shared" si="2"/>
        <v>-</v>
      </c>
      <c r="M5" s="35" t="str">
        <f t="shared" si="2"/>
        <v>-</v>
      </c>
      <c r="N5" s="35" t="str">
        <f t="shared" si="2"/>
        <v>-</v>
      </c>
      <c r="O5" s="36">
        <f t="shared" si="3"/>
        <v>0</v>
      </c>
    </row>
    <row r="6" ht="18.0" customHeight="1">
      <c r="A6" s="25" t="s">
        <v>68</v>
      </c>
      <c r="B6" s="51"/>
      <c r="C6" s="51"/>
      <c r="D6" s="51"/>
      <c r="E6" s="51"/>
      <c r="F6" s="51"/>
      <c r="G6" s="51"/>
      <c r="H6" s="52"/>
      <c r="I6" s="53"/>
      <c r="J6" s="29" t="str">
        <f t="shared" ref="J6:N6" si="4">IFERROR(C6/B6,"-")</f>
        <v>-</v>
      </c>
      <c r="K6" s="29" t="str">
        <f t="shared" si="4"/>
        <v>-</v>
      </c>
      <c r="L6" s="29" t="str">
        <f t="shared" si="4"/>
        <v>-</v>
      </c>
      <c r="M6" s="29" t="str">
        <f t="shared" si="4"/>
        <v>-</v>
      </c>
      <c r="N6" s="29" t="str">
        <f t="shared" si="4"/>
        <v>-</v>
      </c>
      <c r="O6" s="30">
        <f t="shared" si="3"/>
        <v>0</v>
      </c>
    </row>
    <row r="7" ht="18.0" customHeight="1">
      <c r="A7" s="31" t="s">
        <v>69</v>
      </c>
      <c r="B7" s="51"/>
      <c r="C7" s="51"/>
      <c r="D7" s="51"/>
      <c r="E7" s="51"/>
      <c r="F7" s="51"/>
      <c r="G7" s="51"/>
      <c r="H7" s="52"/>
      <c r="I7" s="53"/>
      <c r="J7" s="35" t="str">
        <f t="shared" ref="J7:N7" si="5">IFERROR(C7/B7,"-")</f>
        <v>-</v>
      </c>
      <c r="K7" s="35" t="str">
        <f t="shared" si="5"/>
        <v>-</v>
      </c>
      <c r="L7" s="35" t="str">
        <f t="shared" si="5"/>
        <v>-</v>
      </c>
      <c r="M7" s="35" t="str">
        <f t="shared" si="5"/>
        <v>-</v>
      </c>
      <c r="N7" s="35" t="str">
        <f t="shared" si="5"/>
        <v>-</v>
      </c>
      <c r="O7" s="36">
        <f t="shared" si="3"/>
        <v>0</v>
      </c>
    </row>
    <row r="8" ht="18.0" customHeight="1">
      <c r="A8" s="25" t="s">
        <v>70</v>
      </c>
      <c r="B8" s="51"/>
      <c r="C8" s="51"/>
      <c r="D8" s="51"/>
      <c r="E8" s="51"/>
      <c r="F8" s="51"/>
      <c r="G8" s="51"/>
      <c r="H8" s="52"/>
      <c r="I8" s="53"/>
      <c r="J8" s="29" t="str">
        <f t="shared" ref="J8:N8" si="6">IFERROR(C8/B8,"-")</f>
        <v>-</v>
      </c>
      <c r="K8" s="29" t="str">
        <f t="shared" si="6"/>
        <v>-</v>
      </c>
      <c r="L8" s="29" t="str">
        <f t="shared" si="6"/>
        <v>-</v>
      </c>
      <c r="M8" s="29" t="str">
        <f t="shared" si="6"/>
        <v>-</v>
      </c>
      <c r="N8" s="29" t="str">
        <f t="shared" si="6"/>
        <v>-</v>
      </c>
      <c r="O8" s="30">
        <f t="shared" si="3"/>
        <v>0</v>
      </c>
    </row>
    <row r="9" ht="18.0" customHeight="1">
      <c r="A9" s="31" t="s">
        <v>71</v>
      </c>
      <c r="B9" s="51"/>
      <c r="C9" s="51"/>
      <c r="D9" s="51"/>
      <c r="E9" s="51"/>
      <c r="F9" s="51"/>
      <c r="G9" s="51"/>
      <c r="H9" s="52"/>
      <c r="I9" s="53"/>
      <c r="J9" s="35" t="str">
        <f t="shared" ref="J9:N9" si="7">IFERROR(C9/B9,"-")</f>
        <v>-</v>
      </c>
      <c r="K9" s="35" t="str">
        <f t="shared" si="7"/>
        <v>-</v>
      </c>
      <c r="L9" s="35" t="str">
        <f t="shared" si="7"/>
        <v>-</v>
      </c>
      <c r="M9" s="35" t="str">
        <f t="shared" si="7"/>
        <v>-</v>
      </c>
      <c r="N9" s="35" t="str">
        <f t="shared" si="7"/>
        <v>-</v>
      </c>
      <c r="O9" s="36">
        <f t="shared" si="3"/>
        <v>0</v>
      </c>
    </row>
    <row r="10" ht="18.0" customHeight="1">
      <c r="A10" s="25" t="s">
        <v>72</v>
      </c>
      <c r="B10" s="51"/>
      <c r="C10" s="51"/>
      <c r="D10" s="51"/>
      <c r="E10" s="51"/>
      <c r="F10" s="51"/>
      <c r="G10" s="51"/>
      <c r="H10" s="52"/>
      <c r="I10" s="53"/>
      <c r="J10" s="29" t="str">
        <f t="shared" ref="J10:N10" si="8">IFERROR(C10/B10,"-")</f>
        <v>-</v>
      </c>
      <c r="K10" s="29" t="str">
        <f t="shared" si="8"/>
        <v>-</v>
      </c>
      <c r="L10" s="29" t="str">
        <f t="shared" si="8"/>
        <v>-</v>
      </c>
      <c r="M10" s="29" t="str">
        <f t="shared" si="8"/>
        <v>-</v>
      </c>
      <c r="N10" s="29" t="str">
        <f t="shared" si="8"/>
        <v>-</v>
      </c>
      <c r="O10" s="30">
        <f t="shared" si="3"/>
        <v>0</v>
      </c>
    </row>
    <row r="11" ht="18.0" customHeight="1">
      <c r="A11" s="31" t="s">
        <v>73</v>
      </c>
      <c r="B11" s="51"/>
      <c r="C11" s="51"/>
      <c r="D11" s="51"/>
      <c r="E11" s="51"/>
      <c r="F11" s="51"/>
      <c r="G11" s="51"/>
      <c r="H11" s="52"/>
      <c r="I11" s="53"/>
      <c r="J11" s="35" t="str">
        <f t="shared" ref="J11:N11" si="9">IFERROR(C11/B11,"-")</f>
        <v>-</v>
      </c>
      <c r="K11" s="35" t="str">
        <f t="shared" si="9"/>
        <v>-</v>
      </c>
      <c r="L11" s="35" t="str">
        <f t="shared" si="9"/>
        <v>-</v>
      </c>
      <c r="M11" s="35" t="str">
        <f t="shared" si="9"/>
        <v>-</v>
      </c>
      <c r="N11" s="35" t="str">
        <f t="shared" si="9"/>
        <v>-</v>
      </c>
      <c r="O11" s="36">
        <f t="shared" si="3"/>
        <v>0</v>
      </c>
    </row>
    <row r="12" ht="18.0" customHeight="1">
      <c r="A12" s="25" t="s">
        <v>74</v>
      </c>
      <c r="B12" s="51"/>
      <c r="C12" s="51"/>
      <c r="D12" s="51"/>
      <c r="E12" s="51"/>
      <c r="F12" s="51"/>
      <c r="G12" s="51"/>
      <c r="H12" s="52"/>
      <c r="I12" s="53"/>
      <c r="J12" s="29" t="str">
        <f t="shared" ref="J12:N12" si="10">IFERROR(C12/B12,"-")</f>
        <v>-</v>
      </c>
      <c r="K12" s="29" t="str">
        <f t="shared" si="10"/>
        <v>-</v>
      </c>
      <c r="L12" s="29" t="str">
        <f t="shared" si="10"/>
        <v>-</v>
      </c>
      <c r="M12" s="29" t="str">
        <f t="shared" si="10"/>
        <v>-</v>
      </c>
      <c r="N12" s="29" t="str">
        <f t="shared" si="10"/>
        <v>-</v>
      </c>
      <c r="O12" s="30">
        <f t="shared" si="3"/>
        <v>0</v>
      </c>
    </row>
    <row r="13" ht="18.0" customHeight="1">
      <c r="A13" s="31" t="s">
        <v>75</v>
      </c>
      <c r="B13" s="51"/>
      <c r="C13" s="51"/>
      <c r="D13" s="51"/>
      <c r="E13" s="51"/>
      <c r="F13" s="51"/>
      <c r="G13" s="51"/>
      <c r="H13" s="52"/>
      <c r="I13" s="53"/>
      <c r="J13" s="35" t="str">
        <f t="shared" ref="J13:N13" si="11">IFERROR(C13/B13,"-")</f>
        <v>-</v>
      </c>
      <c r="K13" s="35" t="str">
        <f t="shared" si="11"/>
        <v>-</v>
      </c>
      <c r="L13" s="35" t="str">
        <f t="shared" si="11"/>
        <v>-</v>
      </c>
      <c r="M13" s="35" t="str">
        <f t="shared" si="11"/>
        <v>-</v>
      </c>
      <c r="N13" s="35" t="str">
        <f t="shared" si="11"/>
        <v>-</v>
      </c>
      <c r="O13" s="36">
        <f t="shared" si="3"/>
        <v>0</v>
      </c>
    </row>
    <row r="14" ht="18.0" customHeight="1">
      <c r="A14" s="25" t="s">
        <v>76</v>
      </c>
      <c r="B14" s="51"/>
      <c r="C14" s="51"/>
      <c r="D14" s="51"/>
      <c r="E14" s="51"/>
      <c r="F14" s="51"/>
      <c r="G14" s="51"/>
      <c r="H14" s="52"/>
      <c r="I14" s="53"/>
      <c r="J14" s="29" t="str">
        <f t="shared" ref="J14:N14" si="12">IFERROR(C14/B14,"-")</f>
        <v>-</v>
      </c>
      <c r="K14" s="29" t="str">
        <f t="shared" si="12"/>
        <v>-</v>
      </c>
      <c r="L14" s="29" t="str">
        <f t="shared" si="12"/>
        <v>-</v>
      </c>
      <c r="M14" s="29" t="str">
        <f t="shared" si="12"/>
        <v>-</v>
      </c>
      <c r="N14" s="29" t="str">
        <f t="shared" si="12"/>
        <v>-</v>
      </c>
      <c r="O14" s="30">
        <f t="shared" si="3"/>
        <v>0</v>
      </c>
    </row>
    <row r="15" ht="18.0" customHeight="1">
      <c r="A15" s="31" t="s">
        <v>77</v>
      </c>
      <c r="B15" s="51"/>
      <c r="C15" s="51"/>
      <c r="D15" s="51"/>
      <c r="E15" s="51"/>
      <c r="F15" s="51"/>
      <c r="G15" s="51"/>
      <c r="H15" s="52"/>
      <c r="I15" s="53"/>
      <c r="J15" s="35" t="str">
        <f t="shared" ref="J15:N15" si="13">IFERROR(C15/B15,"-")</f>
        <v>-</v>
      </c>
      <c r="K15" s="35" t="str">
        <f t="shared" si="13"/>
        <v>-</v>
      </c>
      <c r="L15" s="35" t="str">
        <f t="shared" si="13"/>
        <v>-</v>
      </c>
      <c r="M15" s="35" t="str">
        <f t="shared" si="13"/>
        <v>-</v>
      </c>
      <c r="N15" s="35" t="str">
        <f t="shared" si="13"/>
        <v>-</v>
      </c>
      <c r="O15" s="36">
        <f t="shared" si="3"/>
        <v>0</v>
      </c>
    </row>
    <row r="16" ht="4.5" customHeight="1"/>
    <row r="17" ht="21.75" customHeight="1">
      <c r="A17" s="37" t="s">
        <v>78</v>
      </c>
      <c r="B17" s="38">
        <f t="shared" ref="B17:G17" si="14">SUM(B4:B15)</f>
        <v>0</v>
      </c>
      <c r="C17" s="38">
        <f t="shared" si="14"/>
        <v>0</v>
      </c>
      <c r="D17" s="38">
        <f t="shared" si="14"/>
        <v>0</v>
      </c>
      <c r="E17" s="38">
        <f t="shared" si="14"/>
        <v>0</v>
      </c>
      <c r="F17" s="38">
        <f t="shared" si="14"/>
        <v>0</v>
      </c>
      <c r="G17" s="38">
        <f t="shared" si="14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41" t="str">
        <f t="shared" ref="J17:N17" si="15">IFERROR(C17/B17,"-")</f>
        <v>-</v>
      </c>
      <c r="K17" s="41" t="str">
        <f t="shared" si="15"/>
        <v>-</v>
      </c>
      <c r="L17" s="41" t="str">
        <f t="shared" si="15"/>
        <v>-</v>
      </c>
      <c r="M17" s="41" t="str">
        <f t="shared" si="15"/>
        <v>-</v>
      </c>
      <c r="N17" s="41" t="str">
        <f t="shared" si="15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9.75" customHeight="1"/>
    <row r="25" ht="21.75" customHeight="1">
      <c r="A25" s="3" t="s">
        <v>90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4"/>
    </row>
    <row r="26" ht="15.75" customHeight="1">
      <c r="A26" s="19" t="s">
        <v>80</v>
      </c>
      <c r="B26" s="18"/>
      <c r="C26" s="18"/>
      <c r="D26" s="18"/>
      <c r="E26" s="18"/>
      <c r="F26" s="18"/>
      <c r="G26" s="18"/>
      <c r="H26" s="18"/>
      <c r="I26" s="4"/>
      <c r="J26" s="20" t="s">
        <v>91</v>
      </c>
      <c r="K26" s="18"/>
      <c r="L26" s="18"/>
      <c r="M26" s="18"/>
      <c r="N26" s="18"/>
      <c r="O26" s="4"/>
    </row>
    <row r="27" ht="30.0" customHeight="1">
      <c r="A27" s="21" t="s">
        <v>92</v>
      </c>
      <c r="B27" s="22" t="s">
        <v>83</v>
      </c>
      <c r="C27" s="22" t="s">
        <v>84</v>
      </c>
      <c r="D27" s="22" t="s">
        <v>44</v>
      </c>
      <c r="E27" s="22" t="s">
        <v>45</v>
      </c>
      <c r="F27" s="22" t="s">
        <v>46</v>
      </c>
      <c r="G27" s="22" t="s">
        <v>47</v>
      </c>
      <c r="H27" s="22" t="s">
        <v>85</v>
      </c>
      <c r="I27" s="22" t="s">
        <v>86</v>
      </c>
      <c r="J27" s="23" t="s">
        <v>87</v>
      </c>
      <c r="K27" s="23" t="s">
        <v>51</v>
      </c>
      <c r="L27" s="24" t="s">
        <v>52</v>
      </c>
      <c r="M27" s="23" t="s">
        <v>53</v>
      </c>
      <c r="N27" s="23" t="s">
        <v>54</v>
      </c>
      <c r="O27" s="23" t="s">
        <v>88</v>
      </c>
    </row>
    <row r="28" ht="18.0" customHeight="1">
      <c r="A28" s="57"/>
      <c r="B28" s="51"/>
      <c r="C28" s="51"/>
      <c r="D28" s="51"/>
      <c r="E28" s="51"/>
      <c r="F28" s="51"/>
      <c r="G28" s="51"/>
      <c r="H28" s="52"/>
      <c r="I28" s="53"/>
      <c r="J28" s="29" t="str">
        <f t="shared" ref="J28:N28" si="16">IFERROR(C28/B28,"-")</f>
        <v>-</v>
      </c>
      <c r="K28" s="29" t="str">
        <f t="shared" si="16"/>
        <v>-</v>
      </c>
      <c r="L28" s="29" t="str">
        <f t="shared" si="16"/>
        <v>-</v>
      </c>
      <c r="M28" s="29" t="str">
        <f t="shared" si="16"/>
        <v>-</v>
      </c>
      <c r="N28" s="29" t="str">
        <f t="shared" si="16"/>
        <v>-</v>
      </c>
      <c r="O28" s="30">
        <f t="shared" ref="O28:O35" si="18">IFERROR(G28*H28,"-")</f>
        <v>0</v>
      </c>
    </row>
    <row r="29" ht="18.0" customHeight="1">
      <c r="A29" s="57"/>
      <c r="B29" s="51"/>
      <c r="C29" s="51"/>
      <c r="D29" s="51"/>
      <c r="E29" s="51"/>
      <c r="F29" s="51"/>
      <c r="G29" s="51"/>
      <c r="H29" s="52"/>
      <c r="I29" s="53"/>
      <c r="J29" s="35" t="str">
        <f t="shared" ref="J29:N29" si="17">IFERROR(C29/B29,"-")</f>
        <v>-</v>
      </c>
      <c r="K29" s="35" t="str">
        <f t="shared" si="17"/>
        <v>-</v>
      </c>
      <c r="L29" s="35" t="str">
        <f t="shared" si="17"/>
        <v>-</v>
      </c>
      <c r="M29" s="35" t="str">
        <f t="shared" si="17"/>
        <v>-</v>
      </c>
      <c r="N29" s="35" t="str">
        <f t="shared" si="17"/>
        <v>-</v>
      </c>
      <c r="O29" s="36">
        <f t="shared" si="18"/>
        <v>0</v>
      </c>
    </row>
    <row r="30" ht="18.0" customHeight="1">
      <c r="A30" s="57"/>
      <c r="B30" s="51"/>
      <c r="C30" s="51"/>
      <c r="D30" s="51"/>
      <c r="E30" s="51"/>
      <c r="F30" s="51"/>
      <c r="G30" s="51"/>
      <c r="H30" s="52"/>
      <c r="I30" s="53"/>
      <c r="J30" s="29" t="str">
        <f t="shared" ref="J30:N30" si="19">IFERROR(C30/B30,"-")</f>
        <v>-</v>
      </c>
      <c r="K30" s="29" t="str">
        <f t="shared" si="19"/>
        <v>-</v>
      </c>
      <c r="L30" s="29" t="str">
        <f t="shared" si="19"/>
        <v>-</v>
      </c>
      <c r="M30" s="29" t="str">
        <f t="shared" si="19"/>
        <v>-</v>
      </c>
      <c r="N30" s="29" t="str">
        <f t="shared" si="19"/>
        <v>-</v>
      </c>
      <c r="O30" s="30">
        <f t="shared" si="18"/>
        <v>0</v>
      </c>
    </row>
    <row r="31" ht="18.0" customHeight="1">
      <c r="A31" s="57"/>
      <c r="B31" s="51"/>
      <c r="C31" s="51"/>
      <c r="D31" s="51"/>
      <c r="E31" s="51"/>
      <c r="F31" s="51"/>
      <c r="G31" s="51"/>
      <c r="H31" s="52"/>
      <c r="I31" s="53"/>
      <c r="J31" s="35" t="str">
        <f t="shared" ref="J31:N31" si="20">IFERROR(C31/B31,"-")</f>
        <v>-</v>
      </c>
      <c r="K31" s="35" t="str">
        <f t="shared" si="20"/>
        <v>-</v>
      </c>
      <c r="L31" s="35" t="str">
        <f t="shared" si="20"/>
        <v>-</v>
      </c>
      <c r="M31" s="35" t="str">
        <f t="shared" si="20"/>
        <v>-</v>
      </c>
      <c r="N31" s="35" t="str">
        <f t="shared" si="20"/>
        <v>-</v>
      </c>
      <c r="O31" s="36">
        <f t="shared" si="18"/>
        <v>0</v>
      </c>
    </row>
    <row r="32" ht="18.0" customHeight="1">
      <c r="A32" s="57"/>
      <c r="B32" s="51"/>
      <c r="C32" s="51"/>
      <c r="D32" s="51"/>
      <c r="E32" s="51"/>
      <c r="F32" s="51"/>
      <c r="G32" s="51"/>
      <c r="H32" s="52"/>
      <c r="I32" s="53"/>
      <c r="J32" s="29" t="str">
        <f t="shared" ref="J32:N32" si="21">IFERROR(C32/B32,"-")</f>
        <v>-</v>
      </c>
      <c r="K32" s="29" t="str">
        <f t="shared" si="21"/>
        <v>-</v>
      </c>
      <c r="L32" s="29" t="str">
        <f t="shared" si="21"/>
        <v>-</v>
      </c>
      <c r="M32" s="29" t="str">
        <f t="shared" si="21"/>
        <v>-</v>
      </c>
      <c r="N32" s="29" t="str">
        <f t="shared" si="21"/>
        <v>-</v>
      </c>
      <c r="O32" s="30">
        <f t="shared" si="18"/>
        <v>0</v>
      </c>
    </row>
    <row r="33" ht="18.0" customHeight="1">
      <c r="A33" s="57"/>
      <c r="B33" s="51"/>
      <c r="C33" s="51"/>
      <c r="D33" s="51"/>
      <c r="E33" s="51"/>
      <c r="F33" s="51"/>
      <c r="G33" s="51"/>
      <c r="H33" s="52"/>
      <c r="I33" s="53"/>
      <c r="J33" s="35" t="str">
        <f t="shared" ref="J33:N33" si="22">IFERROR(C33/B33,"-")</f>
        <v>-</v>
      </c>
      <c r="K33" s="35" t="str">
        <f t="shared" si="22"/>
        <v>-</v>
      </c>
      <c r="L33" s="35" t="str">
        <f t="shared" si="22"/>
        <v>-</v>
      </c>
      <c r="M33" s="35" t="str">
        <f t="shared" si="22"/>
        <v>-</v>
      </c>
      <c r="N33" s="35" t="str">
        <f t="shared" si="22"/>
        <v>-</v>
      </c>
      <c r="O33" s="36">
        <f t="shared" si="18"/>
        <v>0</v>
      </c>
    </row>
    <row r="34" ht="18.0" customHeight="1">
      <c r="A34" s="57"/>
      <c r="B34" s="51"/>
      <c r="C34" s="51"/>
      <c r="D34" s="51"/>
      <c r="E34" s="51"/>
      <c r="F34" s="51"/>
      <c r="G34" s="51"/>
      <c r="H34" s="52"/>
      <c r="I34" s="53"/>
      <c r="J34" s="29" t="str">
        <f t="shared" ref="J34:N34" si="23">IFERROR(C34/B34,"-")</f>
        <v>-</v>
      </c>
      <c r="K34" s="29" t="str">
        <f t="shared" si="23"/>
        <v>-</v>
      </c>
      <c r="L34" s="29" t="str">
        <f t="shared" si="23"/>
        <v>-</v>
      </c>
      <c r="M34" s="29" t="str">
        <f t="shared" si="23"/>
        <v>-</v>
      </c>
      <c r="N34" s="29" t="str">
        <f t="shared" si="23"/>
        <v>-</v>
      </c>
      <c r="O34" s="30">
        <f t="shared" si="18"/>
        <v>0</v>
      </c>
    </row>
    <row r="35" ht="21.75" customHeight="1">
      <c r="A35" s="37" t="s">
        <v>93</v>
      </c>
      <c r="B35" s="38">
        <f t="shared" ref="B35:G35" si="24">SUM(B28:B34)</f>
        <v>0</v>
      </c>
      <c r="C35" s="38">
        <f t="shared" si="24"/>
        <v>0</v>
      </c>
      <c r="D35" s="38">
        <f t="shared" si="24"/>
        <v>0</v>
      </c>
      <c r="E35" s="38">
        <f t="shared" si="24"/>
        <v>0</v>
      </c>
      <c r="F35" s="38">
        <f t="shared" si="24"/>
        <v>0</v>
      </c>
      <c r="G35" s="38">
        <f t="shared" si="24"/>
        <v>0</v>
      </c>
      <c r="H35" s="39" t="str">
        <f>IFERROR(AVERAGEIF(G28:G34,"&gt;"&amp;0,H28:H34),"-")</f>
        <v>-</v>
      </c>
      <c r="I35" s="40" t="str">
        <f>IFERROR(AVERAGE(I28:I34),"-")</f>
        <v>-</v>
      </c>
      <c r="J35" s="41" t="str">
        <f t="shared" ref="J35:N35" si="25">IFERROR(C35/B35,"-")</f>
        <v>-</v>
      </c>
      <c r="K35" s="41" t="str">
        <f t="shared" si="25"/>
        <v>-</v>
      </c>
      <c r="L35" s="41" t="str">
        <f t="shared" si="25"/>
        <v>-</v>
      </c>
      <c r="M35" s="41" t="str">
        <f t="shared" si="25"/>
        <v>-</v>
      </c>
      <c r="N35" s="41" t="str">
        <f t="shared" si="25"/>
        <v>-</v>
      </c>
      <c r="O35" s="39" t="str">
        <f t="shared" si="18"/>
        <v>-</v>
      </c>
    </row>
    <row r="36" ht="9.75" customHeight="1"/>
    <row r="37" ht="21.75" customHeight="1">
      <c r="A37" s="3" t="s">
        <v>94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4"/>
    </row>
    <row r="38" ht="15.75" customHeight="1">
      <c r="A38" s="19" t="s">
        <v>80</v>
      </c>
      <c r="B38" s="18"/>
      <c r="C38" s="18"/>
      <c r="D38" s="18"/>
      <c r="E38" s="18"/>
      <c r="F38" s="18"/>
      <c r="G38" s="18"/>
      <c r="H38" s="18"/>
      <c r="I38" s="4"/>
      <c r="J38" s="20" t="s">
        <v>91</v>
      </c>
      <c r="K38" s="18"/>
      <c r="L38" s="18"/>
      <c r="M38" s="18"/>
      <c r="N38" s="18"/>
      <c r="O38" s="4"/>
    </row>
    <row r="39" ht="30.0" customHeight="1">
      <c r="A39" s="21" t="s">
        <v>95</v>
      </c>
      <c r="B39" s="22" t="s">
        <v>83</v>
      </c>
      <c r="C39" s="22" t="s">
        <v>84</v>
      </c>
      <c r="D39" s="22" t="s">
        <v>44</v>
      </c>
      <c r="E39" s="22" t="s">
        <v>45</v>
      </c>
      <c r="F39" s="22" t="s">
        <v>46</v>
      </c>
      <c r="G39" s="22" t="s">
        <v>47</v>
      </c>
      <c r="H39" s="22" t="s">
        <v>85</v>
      </c>
      <c r="I39" s="22" t="s">
        <v>86</v>
      </c>
      <c r="J39" s="23" t="s">
        <v>87</v>
      </c>
      <c r="K39" s="23" t="s">
        <v>51</v>
      </c>
      <c r="L39" s="24" t="s">
        <v>52</v>
      </c>
      <c r="M39" s="23" t="s">
        <v>53</v>
      </c>
      <c r="N39" s="23" t="s">
        <v>54</v>
      </c>
      <c r="O39" s="23" t="s">
        <v>88</v>
      </c>
    </row>
    <row r="40" ht="18.0" customHeight="1">
      <c r="A40" s="57"/>
      <c r="B40" s="51"/>
      <c r="C40" s="51"/>
      <c r="D40" s="51"/>
      <c r="E40" s="51"/>
      <c r="F40" s="51"/>
      <c r="G40" s="51"/>
      <c r="H40" s="52"/>
      <c r="I40" s="53"/>
      <c r="J40" s="29" t="str">
        <f t="shared" ref="J40:N40" si="26">IFERROR(C40/B40,"-")</f>
        <v>-</v>
      </c>
      <c r="K40" s="29" t="str">
        <f t="shared" si="26"/>
        <v>-</v>
      </c>
      <c r="L40" s="29" t="str">
        <f t="shared" si="26"/>
        <v>-</v>
      </c>
      <c r="M40" s="29" t="str">
        <f t="shared" si="26"/>
        <v>-</v>
      </c>
      <c r="N40" s="29" t="str">
        <f t="shared" si="26"/>
        <v>-</v>
      </c>
      <c r="O40" s="30">
        <f t="shared" ref="O40:O48" si="28">IFERROR(G40*H40,"-")</f>
        <v>0</v>
      </c>
    </row>
    <row r="41" ht="18.0" customHeight="1">
      <c r="A41" s="57"/>
      <c r="B41" s="51"/>
      <c r="C41" s="51"/>
      <c r="D41" s="51"/>
      <c r="E41" s="51"/>
      <c r="F41" s="51"/>
      <c r="G41" s="51"/>
      <c r="H41" s="52"/>
      <c r="I41" s="53"/>
      <c r="J41" s="35" t="str">
        <f t="shared" ref="J41:N41" si="27">IFERROR(C41/B41,"-")</f>
        <v>-</v>
      </c>
      <c r="K41" s="35" t="str">
        <f t="shared" si="27"/>
        <v>-</v>
      </c>
      <c r="L41" s="35" t="str">
        <f t="shared" si="27"/>
        <v>-</v>
      </c>
      <c r="M41" s="35" t="str">
        <f t="shared" si="27"/>
        <v>-</v>
      </c>
      <c r="N41" s="35" t="str">
        <f t="shared" si="27"/>
        <v>-</v>
      </c>
      <c r="O41" s="36">
        <f t="shared" si="28"/>
        <v>0</v>
      </c>
    </row>
    <row r="42" ht="18.0" customHeight="1">
      <c r="A42" s="57"/>
      <c r="B42" s="51"/>
      <c r="C42" s="51"/>
      <c r="D42" s="51"/>
      <c r="E42" s="51"/>
      <c r="F42" s="51"/>
      <c r="G42" s="51"/>
      <c r="H42" s="52"/>
      <c r="I42" s="53"/>
      <c r="J42" s="29" t="str">
        <f t="shared" ref="J42:N42" si="29">IFERROR(C42/B42,"-")</f>
        <v>-</v>
      </c>
      <c r="K42" s="29" t="str">
        <f t="shared" si="29"/>
        <v>-</v>
      </c>
      <c r="L42" s="29" t="str">
        <f t="shared" si="29"/>
        <v>-</v>
      </c>
      <c r="M42" s="29" t="str">
        <f t="shared" si="29"/>
        <v>-</v>
      </c>
      <c r="N42" s="29" t="str">
        <f t="shared" si="29"/>
        <v>-</v>
      </c>
      <c r="O42" s="30">
        <f t="shared" si="28"/>
        <v>0</v>
      </c>
    </row>
    <row r="43" ht="18.0" customHeight="1">
      <c r="A43" s="57"/>
      <c r="B43" s="51"/>
      <c r="C43" s="51"/>
      <c r="D43" s="51"/>
      <c r="E43" s="51"/>
      <c r="F43" s="51"/>
      <c r="G43" s="51"/>
      <c r="H43" s="52"/>
      <c r="I43" s="53"/>
      <c r="J43" s="35" t="str">
        <f t="shared" ref="J43:N43" si="30">IFERROR(C43/B43,"-")</f>
        <v>-</v>
      </c>
      <c r="K43" s="35" t="str">
        <f t="shared" si="30"/>
        <v>-</v>
      </c>
      <c r="L43" s="35" t="str">
        <f t="shared" si="30"/>
        <v>-</v>
      </c>
      <c r="M43" s="35" t="str">
        <f t="shared" si="30"/>
        <v>-</v>
      </c>
      <c r="N43" s="35" t="str">
        <f t="shared" si="30"/>
        <v>-</v>
      </c>
      <c r="O43" s="36">
        <f t="shared" si="28"/>
        <v>0</v>
      </c>
    </row>
    <row r="44" ht="18.0" customHeight="1">
      <c r="A44" s="57"/>
      <c r="B44" s="51"/>
      <c r="C44" s="51"/>
      <c r="D44" s="51"/>
      <c r="E44" s="51"/>
      <c r="F44" s="51"/>
      <c r="G44" s="51"/>
      <c r="H44" s="52"/>
      <c r="I44" s="53"/>
      <c r="J44" s="29" t="str">
        <f t="shared" ref="J44:N44" si="31">IFERROR(C44/B44,"-")</f>
        <v>-</v>
      </c>
      <c r="K44" s="29" t="str">
        <f t="shared" si="31"/>
        <v>-</v>
      </c>
      <c r="L44" s="29" t="str">
        <f t="shared" si="31"/>
        <v>-</v>
      </c>
      <c r="M44" s="29" t="str">
        <f t="shared" si="31"/>
        <v>-</v>
      </c>
      <c r="N44" s="29" t="str">
        <f t="shared" si="31"/>
        <v>-</v>
      </c>
      <c r="O44" s="30">
        <f t="shared" si="28"/>
        <v>0</v>
      </c>
    </row>
    <row r="45" ht="18.0" customHeight="1">
      <c r="A45" s="57"/>
      <c r="B45" s="51"/>
      <c r="C45" s="51"/>
      <c r="D45" s="51"/>
      <c r="E45" s="51"/>
      <c r="F45" s="51"/>
      <c r="G45" s="51"/>
      <c r="H45" s="52"/>
      <c r="I45" s="53"/>
      <c r="J45" s="35" t="str">
        <f t="shared" ref="J45:N45" si="32">IFERROR(C45/B45,"-")</f>
        <v>-</v>
      </c>
      <c r="K45" s="35" t="str">
        <f t="shared" si="32"/>
        <v>-</v>
      </c>
      <c r="L45" s="35" t="str">
        <f t="shared" si="32"/>
        <v>-</v>
      </c>
      <c r="M45" s="35" t="str">
        <f t="shared" si="32"/>
        <v>-</v>
      </c>
      <c r="N45" s="35" t="str">
        <f t="shared" si="32"/>
        <v>-</v>
      </c>
      <c r="O45" s="36">
        <f t="shared" si="28"/>
        <v>0</v>
      </c>
    </row>
    <row r="46" ht="18.0" customHeight="1">
      <c r="A46" s="57"/>
      <c r="B46" s="51"/>
      <c r="C46" s="51"/>
      <c r="D46" s="51"/>
      <c r="E46" s="51"/>
      <c r="F46" s="51"/>
      <c r="G46" s="51"/>
      <c r="H46" s="52"/>
      <c r="I46" s="53"/>
      <c r="J46" s="29" t="str">
        <f t="shared" ref="J46:N46" si="33">IFERROR(C46/B46,"-")</f>
        <v>-</v>
      </c>
      <c r="K46" s="29" t="str">
        <f t="shared" si="33"/>
        <v>-</v>
      </c>
      <c r="L46" s="29" t="str">
        <f t="shared" si="33"/>
        <v>-</v>
      </c>
      <c r="M46" s="29" t="str">
        <f t="shared" si="33"/>
        <v>-</v>
      </c>
      <c r="N46" s="29" t="str">
        <f t="shared" si="33"/>
        <v>-</v>
      </c>
      <c r="O46" s="30">
        <f t="shared" si="28"/>
        <v>0</v>
      </c>
    </row>
    <row r="47" ht="18.0" customHeight="1">
      <c r="A47" s="57"/>
      <c r="B47" s="51"/>
      <c r="C47" s="51"/>
      <c r="D47" s="51"/>
      <c r="E47" s="51"/>
      <c r="F47" s="51"/>
      <c r="G47" s="51"/>
      <c r="H47" s="52"/>
      <c r="I47" s="53"/>
      <c r="J47" s="35" t="str">
        <f t="shared" ref="J47:N47" si="34">IFERROR(C47/B47,"-")</f>
        <v>-</v>
      </c>
      <c r="K47" s="35" t="str">
        <f t="shared" si="34"/>
        <v>-</v>
      </c>
      <c r="L47" s="35" t="str">
        <f t="shared" si="34"/>
        <v>-</v>
      </c>
      <c r="M47" s="35" t="str">
        <f t="shared" si="34"/>
        <v>-</v>
      </c>
      <c r="N47" s="35" t="str">
        <f t="shared" si="34"/>
        <v>-</v>
      </c>
      <c r="O47" s="36">
        <f t="shared" si="28"/>
        <v>0</v>
      </c>
    </row>
    <row r="48" ht="21.75" customHeight="1">
      <c r="A48" s="37" t="s">
        <v>93</v>
      </c>
      <c r="B48" s="38">
        <f t="shared" ref="B48:G48" si="35">SUM(B40:B47)</f>
        <v>0</v>
      </c>
      <c r="C48" s="38">
        <f t="shared" si="35"/>
        <v>0</v>
      </c>
      <c r="D48" s="38">
        <f t="shared" si="35"/>
        <v>0</v>
      </c>
      <c r="E48" s="38">
        <f t="shared" si="35"/>
        <v>0</v>
      </c>
      <c r="F48" s="38">
        <f t="shared" si="35"/>
        <v>0</v>
      </c>
      <c r="G48" s="38">
        <f t="shared" si="35"/>
        <v>0</v>
      </c>
      <c r="H48" s="39" t="str">
        <f>IFERROR(AVERAGEIF(G40:G47,"&gt;"&amp;0,H40:H47),"-")</f>
        <v>-</v>
      </c>
      <c r="I48" s="40" t="str">
        <f>IFERROR(AVERAGE(I40:I47),"-")</f>
        <v>-</v>
      </c>
      <c r="J48" s="41" t="str">
        <f t="shared" ref="J48:N48" si="36">IFERROR(C48/B48,"-")</f>
        <v>-</v>
      </c>
      <c r="K48" s="41" t="str">
        <f t="shared" si="36"/>
        <v>-</v>
      </c>
      <c r="L48" s="41" t="str">
        <f t="shared" si="36"/>
        <v>-</v>
      </c>
      <c r="M48" s="41" t="str">
        <f t="shared" si="36"/>
        <v>-</v>
      </c>
      <c r="N48" s="41" t="str">
        <f t="shared" si="36"/>
        <v>-</v>
      </c>
      <c r="O48" s="39" t="str">
        <f t="shared" si="28"/>
        <v>-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5:O25"/>
    <mergeCell ref="A26:I26"/>
    <mergeCell ref="J26:O26"/>
    <mergeCell ref="A37:O37"/>
    <mergeCell ref="A38:I38"/>
    <mergeCell ref="J38:O38"/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96</v>
      </c>
      <c r="C3" s="22" t="s">
        <v>97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98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1"/>
      <c r="D4" s="51"/>
      <c r="E4" s="51"/>
      <c r="F4" s="51"/>
      <c r="G4" s="51"/>
      <c r="H4" s="52"/>
      <c r="I4" s="53"/>
      <c r="J4" s="29" t="str">
        <f t="shared" ref="J4:N4" si="1">IFERROR(C4/B4,"-")</f>
        <v>-</v>
      </c>
      <c r="K4" s="29" t="str">
        <f t="shared" si="1"/>
        <v>-</v>
      </c>
      <c r="L4" s="29" t="str">
        <f t="shared" si="1"/>
        <v>-</v>
      </c>
      <c r="M4" s="29" t="str">
        <f t="shared" si="1"/>
        <v>-</v>
      </c>
      <c r="N4" s="29" t="str">
        <f t="shared" si="1"/>
        <v>-</v>
      </c>
      <c r="O4" s="30">
        <f t="shared" ref="O4:O15" si="3">IFERROR(G4*H4,"-")</f>
        <v>0</v>
      </c>
    </row>
    <row r="5" ht="18.0" customHeight="1">
      <c r="A5" s="31" t="s">
        <v>67</v>
      </c>
      <c r="B5" s="51"/>
      <c r="C5" s="51"/>
      <c r="D5" s="51"/>
      <c r="E5" s="51"/>
      <c r="F5" s="51"/>
      <c r="G5" s="51"/>
      <c r="H5" s="52"/>
      <c r="I5" s="53"/>
      <c r="J5" s="35" t="str">
        <f t="shared" ref="J5:N5" si="2">IFERROR(C5/B5,"-")</f>
        <v>-</v>
      </c>
      <c r="K5" s="35" t="str">
        <f t="shared" si="2"/>
        <v>-</v>
      </c>
      <c r="L5" s="35" t="str">
        <f t="shared" si="2"/>
        <v>-</v>
      </c>
      <c r="M5" s="35" t="str">
        <f t="shared" si="2"/>
        <v>-</v>
      </c>
      <c r="N5" s="35" t="str">
        <f t="shared" si="2"/>
        <v>-</v>
      </c>
      <c r="O5" s="36">
        <f t="shared" si="3"/>
        <v>0</v>
      </c>
    </row>
    <row r="6" ht="18.0" customHeight="1">
      <c r="A6" s="25" t="s">
        <v>68</v>
      </c>
      <c r="B6" s="51"/>
      <c r="C6" s="51"/>
      <c r="D6" s="51"/>
      <c r="E6" s="51"/>
      <c r="F6" s="51"/>
      <c r="G6" s="51"/>
      <c r="H6" s="52"/>
      <c r="I6" s="53"/>
      <c r="J6" s="29" t="str">
        <f t="shared" ref="J6:N6" si="4">IFERROR(C6/B6,"-")</f>
        <v>-</v>
      </c>
      <c r="K6" s="29" t="str">
        <f t="shared" si="4"/>
        <v>-</v>
      </c>
      <c r="L6" s="29" t="str">
        <f t="shared" si="4"/>
        <v>-</v>
      </c>
      <c r="M6" s="29" t="str">
        <f t="shared" si="4"/>
        <v>-</v>
      </c>
      <c r="N6" s="29" t="str">
        <f t="shared" si="4"/>
        <v>-</v>
      </c>
      <c r="O6" s="30">
        <f t="shared" si="3"/>
        <v>0</v>
      </c>
    </row>
    <row r="7" ht="18.0" customHeight="1">
      <c r="A7" s="31" t="s">
        <v>69</v>
      </c>
      <c r="B7" s="51"/>
      <c r="C7" s="51"/>
      <c r="D7" s="51"/>
      <c r="E7" s="51"/>
      <c r="F7" s="51"/>
      <c r="G7" s="51"/>
      <c r="H7" s="52"/>
      <c r="I7" s="53"/>
      <c r="J7" s="35" t="str">
        <f t="shared" ref="J7:N7" si="5">IFERROR(C7/B7,"-")</f>
        <v>-</v>
      </c>
      <c r="K7" s="35" t="str">
        <f t="shared" si="5"/>
        <v>-</v>
      </c>
      <c r="L7" s="35" t="str">
        <f t="shared" si="5"/>
        <v>-</v>
      </c>
      <c r="M7" s="35" t="str">
        <f t="shared" si="5"/>
        <v>-</v>
      </c>
      <c r="N7" s="35" t="str">
        <f t="shared" si="5"/>
        <v>-</v>
      </c>
      <c r="O7" s="36">
        <f t="shared" si="3"/>
        <v>0</v>
      </c>
    </row>
    <row r="8" ht="18.0" customHeight="1">
      <c r="A8" s="25" t="s">
        <v>70</v>
      </c>
      <c r="B8" s="51"/>
      <c r="C8" s="51"/>
      <c r="D8" s="51"/>
      <c r="E8" s="51"/>
      <c r="F8" s="51"/>
      <c r="G8" s="51"/>
      <c r="H8" s="52"/>
      <c r="I8" s="53"/>
      <c r="J8" s="29" t="str">
        <f t="shared" ref="J8:N8" si="6">IFERROR(C8/B8,"-")</f>
        <v>-</v>
      </c>
      <c r="K8" s="29" t="str">
        <f t="shared" si="6"/>
        <v>-</v>
      </c>
      <c r="L8" s="29" t="str">
        <f t="shared" si="6"/>
        <v>-</v>
      </c>
      <c r="M8" s="29" t="str">
        <f t="shared" si="6"/>
        <v>-</v>
      </c>
      <c r="N8" s="29" t="str">
        <f t="shared" si="6"/>
        <v>-</v>
      </c>
      <c r="O8" s="30">
        <f t="shared" si="3"/>
        <v>0</v>
      </c>
    </row>
    <row r="9" ht="18.0" customHeight="1">
      <c r="A9" s="31" t="s">
        <v>71</v>
      </c>
      <c r="B9" s="51"/>
      <c r="C9" s="51"/>
      <c r="D9" s="51"/>
      <c r="E9" s="51"/>
      <c r="F9" s="51"/>
      <c r="G9" s="51"/>
      <c r="H9" s="52"/>
      <c r="I9" s="53"/>
      <c r="J9" s="35" t="str">
        <f t="shared" ref="J9:N9" si="7">IFERROR(C9/B9,"-")</f>
        <v>-</v>
      </c>
      <c r="K9" s="35" t="str">
        <f t="shared" si="7"/>
        <v>-</v>
      </c>
      <c r="L9" s="35" t="str">
        <f t="shared" si="7"/>
        <v>-</v>
      </c>
      <c r="M9" s="35" t="str">
        <f t="shared" si="7"/>
        <v>-</v>
      </c>
      <c r="N9" s="35" t="str">
        <f t="shared" si="7"/>
        <v>-</v>
      </c>
      <c r="O9" s="36">
        <f t="shared" si="3"/>
        <v>0</v>
      </c>
    </row>
    <row r="10" ht="18.0" customHeight="1">
      <c r="A10" s="25" t="s">
        <v>72</v>
      </c>
      <c r="B10" s="51"/>
      <c r="C10" s="51"/>
      <c r="D10" s="51"/>
      <c r="E10" s="51"/>
      <c r="F10" s="51"/>
      <c r="G10" s="51"/>
      <c r="H10" s="52"/>
      <c r="I10" s="53"/>
      <c r="J10" s="29" t="str">
        <f t="shared" ref="J10:N10" si="8">IFERROR(C10/B10,"-")</f>
        <v>-</v>
      </c>
      <c r="K10" s="29" t="str">
        <f t="shared" si="8"/>
        <v>-</v>
      </c>
      <c r="L10" s="29" t="str">
        <f t="shared" si="8"/>
        <v>-</v>
      </c>
      <c r="M10" s="29" t="str">
        <f t="shared" si="8"/>
        <v>-</v>
      </c>
      <c r="N10" s="29" t="str">
        <f t="shared" si="8"/>
        <v>-</v>
      </c>
      <c r="O10" s="30">
        <f t="shared" si="3"/>
        <v>0</v>
      </c>
    </row>
    <row r="11" ht="18.0" customHeight="1">
      <c r="A11" s="31" t="s">
        <v>73</v>
      </c>
      <c r="B11" s="51"/>
      <c r="C11" s="51"/>
      <c r="D11" s="51"/>
      <c r="E11" s="51"/>
      <c r="F11" s="51"/>
      <c r="G11" s="51"/>
      <c r="H11" s="52"/>
      <c r="I11" s="53"/>
      <c r="J11" s="35" t="str">
        <f t="shared" ref="J11:N11" si="9">IFERROR(C11/B11,"-")</f>
        <v>-</v>
      </c>
      <c r="K11" s="35" t="str">
        <f t="shared" si="9"/>
        <v>-</v>
      </c>
      <c r="L11" s="35" t="str">
        <f t="shared" si="9"/>
        <v>-</v>
      </c>
      <c r="M11" s="35" t="str">
        <f t="shared" si="9"/>
        <v>-</v>
      </c>
      <c r="N11" s="35" t="str">
        <f t="shared" si="9"/>
        <v>-</v>
      </c>
      <c r="O11" s="36">
        <f t="shared" si="3"/>
        <v>0</v>
      </c>
    </row>
    <row r="12" ht="18.0" customHeight="1">
      <c r="A12" s="25" t="s">
        <v>74</v>
      </c>
      <c r="B12" s="51"/>
      <c r="C12" s="51"/>
      <c r="D12" s="51"/>
      <c r="E12" s="51"/>
      <c r="F12" s="51"/>
      <c r="G12" s="51"/>
      <c r="H12" s="52"/>
      <c r="I12" s="53"/>
      <c r="J12" s="29" t="str">
        <f t="shared" ref="J12:N12" si="10">IFERROR(C12/B12,"-")</f>
        <v>-</v>
      </c>
      <c r="K12" s="29" t="str">
        <f t="shared" si="10"/>
        <v>-</v>
      </c>
      <c r="L12" s="29" t="str">
        <f t="shared" si="10"/>
        <v>-</v>
      </c>
      <c r="M12" s="29" t="str">
        <f t="shared" si="10"/>
        <v>-</v>
      </c>
      <c r="N12" s="29" t="str">
        <f t="shared" si="10"/>
        <v>-</v>
      </c>
      <c r="O12" s="30">
        <f t="shared" si="3"/>
        <v>0</v>
      </c>
    </row>
    <row r="13" ht="18.0" customHeight="1">
      <c r="A13" s="31" t="s">
        <v>75</v>
      </c>
      <c r="B13" s="51"/>
      <c r="C13" s="51"/>
      <c r="D13" s="51"/>
      <c r="E13" s="51"/>
      <c r="F13" s="51"/>
      <c r="G13" s="51"/>
      <c r="H13" s="52"/>
      <c r="I13" s="53"/>
      <c r="J13" s="35" t="str">
        <f t="shared" ref="J13:N13" si="11">IFERROR(C13/B13,"-")</f>
        <v>-</v>
      </c>
      <c r="K13" s="35" t="str">
        <f t="shared" si="11"/>
        <v>-</v>
      </c>
      <c r="L13" s="35" t="str">
        <f t="shared" si="11"/>
        <v>-</v>
      </c>
      <c r="M13" s="35" t="str">
        <f t="shared" si="11"/>
        <v>-</v>
      </c>
      <c r="N13" s="35" t="str">
        <f t="shared" si="11"/>
        <v>-</v>
      </c>
      <c r="O13" s="36">
        <f t="shared" si="3"/>
        <v>0</v>
      </c>
    </row>
    <row r="14" ht="18.0" customHeight="1">
      <c r="A14" s="25" t="s">
        <v>76</v>
      </c>
      <c r="B14" s="51"/>
      <c r="C14" s="51"/>
      <c r="D14" s="51"/>
      <c r="E14" s="51"/>
      <c r="F14" s="51"/>
      <c r="G14" s="51"/>
      <c r="H14" s="52"/>
      <c r="I14" s="53"/>
      <c r="J14" s="29" t="str">
        <f t="shared" ref="J14:N14" si="12">IFERROR(C14/B14,"-")</f>
        <v>-</v>
      </c>
      <c r="K14" s="29" t="str">
        <f t="shared" si="12"/>
        <v>-</v>
      </c>
      <c r="L14" s="29" t="str">
        <f t="shared" si="12"/>
        <v>-</v>
      </c>
      <c r="M14" s="29" t="str">
        <f t="shared" si="12"/>
        <v>-</v>
      </c>
      <c r="N14" s="29" t="str">
        <f t="shared" si="12"/>
        <v>-</v>
      </c>
      <c r="O14" s="30">
        <f t="shared" si="3"/>
        <v>0</v>
      </c>
    </row>
    <row r="15" ht="18.0" customHeight="1">
      <c r="A15" s="31" t="s">
        <v>77</v>
      </c>
      <c r="B15" s="51"/>
      <c r="C15" s="51"/>
      <c r="D15" s="51"/>
      <c r="E15" s="51"/>
      <c r="F15" s="51"/>
      <c r="G15" s="51"/>
      <c r="H15" s="52"/>
      <c r="I15" s="53"/>
      <c r="J15" s="35" t="str">
        <f t="shared" ref="J15:N15" si="13">IFERROR(C15/B15,"-")</f>
        <v>-</v>
      </c>
      <c r="K15" s="35" t="str">
        <f t="shared" si="13"/>
        <v>-</v>
      </c>
      <c r="L15" s="35" t="str">
        <f t="shared" si="13"/>
        <v>-</v>
      </c>
      <c r="M15" s="35" t="str">
        <f t="shared" si="13"/>
        <v>-</v>
      </c>
      <c r="N15" s="35" t="str">
        <f t="shared" si="13"/>
        <v>-</v>
      </c>
      <c r="O15" s="36">
        <f t="shared" si="3"/>
        <v>0</v>
      </c>
    </row>
    <row r="16" ht="4.5" customHeight="1"/>
    <row r="17" ht="21.75" customHeight="1">
      <c r="A17" s="37" t="s">
        <v>78</v>
      </c>
      <c r="B17" s="38">
        <f t="shared" ref="B17:G17" si="14">SUM(B4:B15)</f>
        <v>0</v>
      </c>
      <c r="C17" s="38">
        <f t="shared" si="14"/>
        <v>0</v>
      </c>
      <c r="D17" s="38">
        <f t="shared" si="14"/>
        <v>0</v>
      </c>
      <c r="E17" s="38">
        <f t="shared" si="14"/>
        <v>0</v>
      </c>
      <c r="F17" s="38">
        <f t="shared" si="14"/>
        <v>0</v>
      </c>
      <c r="G17" s="38">
        <f t="shared" si="14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41" t="str">
        <f t="shared" ref="J17:N17" si="15">IFERROR(C17/B17,"-")</f>
        <v>-</v>
      </c>
      <c r="K17" s="41" t="str">
        <f t="shared" si="15"/>
        <v>-</v>
      </c>
      <c r="L17" s="41" t="str">
        <f t="shared" si="15"/>
        <v>-</v>
      </c>
      <c r="M17" s="41" t="str">
        <f t="shared" si="15"/>
        <v>-</v>
      </c>
      <c r="N17" s="41" t="str">
        <f t="shared" si="15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96</v>
      </c>
      <c r="C3" s="22" t="s">
        <v>97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98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1"/>
      <c r="D4" s="51"/>
      <c r="E4" s="51"/>
      <c r="F4" s="51"/>
      <c r="G4" s="51"/>
      <c r="H4" s="52"/>
      <c r="I4" s="53"/>
      <c r="J4" s="29" t="str">
        <f t="shared" ref="J4:N4" si="1">IFERROR(C4/B4,"-")</f>
        <v>-</v>
      </c>
      <c r="K4" s="29" t="str">
        <f t="shared" si="1"/>
        <v>-</v>
      </c>
      <c r="L4" s="29" t="str">
        <f t="shared" si="1"/>
        <v>-</v>
      </c>
      <c r="M4" s="29" t="str">
        <f t="shared" si="1"/>
        <v>-</v>
      </c>
      <c r="N4" s="29" t="str">
        <f t="shared" si="1"/>
        <v>-</v>
      </c>
      <c r="O4" s="30">
        <f t="shared" ref="O4:O15" si="3">IFERROR(G4*H4,"-")</f>
        <v>0</v>
      </c>
    </row>
    <row r="5" ht="18.0" customHeight="1">
      <c r="A5" s="31" t="s">
        <v>67</v>
      </c>
      <c r="B5" s="51"/>
      <c r="C5" s="51"/>
      <c r="D5" s="51"/>
      <c r="E5" s="51"/>
      <c r="F5" s="51"/>
      <c r="G5" s="51"/>
      <c r="H5" s="52"/>
      <c r="I5" s="53"/>
      <c r="J5" s="35" t="str">
        <f t="shared" ref="J5:N5" si="2">IFERROR(C5/B5,"-")</f>
        <v>-</v>
      </c>
      <c r="K5" s="35" t="str">
        <f t="shared" si="2"/>
        <v>-</v>
      </c>
      <c r="L5" s="35" t="str">
        <f t="shared" si="2"/>
        <v>-</v>
      </c>
      <c r="M5" s="35" t="str">
        <f t="shared" si="2"/>
        <v>-</v>
      </c>
      <c r="N5" s="35" t="str">
        <f t="shared" si="2"/>
        <v>-</v>
      </c>
      <c r="O5" s="36">
        <f t="shared" si="3"/>
        <v>0</v>
      </c>
    </row>
    <row r="6" ht="18.0" customHeight="1">
      <c r="A6" s="25" t="s">
        <v>68</v>
      </c>
      <c r="B6" s="51"/>
      <c r="C6" s="51"/>
      <c r="D6" s="51"/>
      <c r="E6" s="51"/>
      <c r="F6" s="51"/>
      <c r="G6" s="51"/>
      <c r="H6" s="52"/>
      <c r="I6" s="53"/>
      <c r="J6" s="29" t="str">
        <f t="shared" ref="J6:N6" si="4">IFERROR(C6/B6,"-")</f>
        <v>-</v>
      </c>
      <c r="K6" s="29" t="str">
        <f t="shared" si="4"/>
        <v>-</v>
      </c>
      <c r="L6" s="29" t="str">
        <f t="shared" si="4"/>
        <v>-</v>
      </c>
      <c r="M6" s="29" t="str">
        <f t="shared" si="4"/>
        <v>-</v>
      </c>
      <c r="N6" s="29" t="str">
        <f t="shared" si="4"/>
        <v>-</v>
      </c>
      <c r="O6" s="30">
        <f t="shared" si="3"/>
        <v>0</v>
      </c>
    </row>
    <row r="7" ht="18.0" customHeight="1">
      <c r="A7" s="31" t="s">
        <v>69</v>
      </c>
      <c r="B7" s="51"/>
      <c r="C7" s="51"/>
      <c r="D7" s="51"/>
      <c r="E7" s="51"/>
      <c r="F7" s="51"/>
      <c r="G7" s="51"/>
      <c r="H7" s="52"/>
      <c r="I7" s="53"/>
      <c r="J7" s="35" t="str">
        <f t="shared" ref="J7:N7" si="5">IFERROR(C7/B7,"-")</f>
        <v>-</v>
      </c>
      <c r="K7" s="35" t="str">
        <f t="shared" si="5"/>
        <v>-</v>
      </c>
      <c r="L7" s="35" t="str">
        <f t="shared" si="5"/>
        <v>-</v>
      </c>
      <c r="M7" s="35" t="str">
        <f t="shared" si="5"/>
        <v>-</v>
      </c>
      <c r="N7" s="35" t="str">
        <f t="shared" si="5"/>
        <v>-</v>
      </c>
      <c r="O7" s="36">
        <f t="shared" si="3"/>
        <v>0</v>
      </c>
    </row>
    <row r="8" ht="18.0" customHeight="1">
      <c r="A8" s="25" t="s">
        <v>70</v>
      </c>
      <c r="B8" s="51"/>
      <c r="C8" s="51"/>
      <c r="D8" s="51"/>
      <c r="E8" s="51"/>
      <c r="F8" s="51"/>
      <c r="G8" s="51"/>
      <c r="H8" s="52"/>
      <c r="I8" s="53"/>
      <c r="J8" s="29" t="str">
        <f t="shared" ref="J8:N8" si="6">IFERROR(C8/B8,"-")</f>
        <v>-</v>
      </c>
      <c r="K8" s="29" t="str">
        <f t="shared" si="6"/>
        <v>-</v>
      </c>
      <c r="L8" s="29" t="str">
        <f t="shared" si="6"/>
        <v>-</v>
      </c>
      <c r="M8" s="29" t="str">
        <f t="shared" si="6"/>
        <v>-</v>
      </c>
      <c r="N8" s="29" t="str">
        <f t="shared" si="6"/>
        <v>-</v>
      </c>
      <c r="O8" s="30">
        <f t="shared" si="3"/>
        <v>0</v>
      </c>
    </row>
    <row r="9" ht="18.0" customHeight="1">
      <c r="A9" s="31" t="s">
        <v>71</v>
      </c>
      <c r="B9" s="51"/>
      <c r="C9" s="51"/>
      <c r="D9" s="51"/>
      <c r="E9" s="51"/>
      <c r="F9" s="51"/>
      <c r="G9" s="51"/>
      <c r="H9" s="52"/>
      <c r="I9" s="53"/>
      <c r="J9" s="35" t="str">
        <f t="shared" ref="J9:N9" si="7">IFERROR(C9/B9,"-")</f>
        <v>-</v>
      </c>
      <c r="K9" s="35" t="str">
        <f t="shared" si="7"/>
        <v>-</v>
      </c>
      <c r="L9" s="35" t="str">
        <f t="shared" si="7"/>
        <v>-</v>
      </c>
      <c r="M9" s="35" t="str">
        <f t="shared" si="7"/>
        <v>-</v>
      </c>
      <c r="N9" s="35" t="str">
        <f t="shared" si="7"/>
        <v>-</v>
      </c>
      <c r="O9" s="36">
        <f t="shared" si="3"/>
        <v>0</v>
      </c>
    </row>
    <row r="10" ht="18.0" customHeight="1">
      <c r="A10" s="25" t="s">
        <v>72</v>
      </c>
      <c r="B10" s="51"/>
      <c r="C10" s="51"/>
      <c r="D10" s="51"/>
      <c r="E10" s="51"/>
      <c r="F10" s="51"/>
      <c r="G10" s="51"/>
      <c r="H10" s="52"/>
      <c r="I10" s="53"/>
      <c r="J10" s="29" t="str">
        <f t="shared" ref="J10:N10" si="8">IFERROR(C10/B10,"-")</f>
        <v>-</v>
      </c>
      <c r="K10" s="29" t="str">
        <f t="shared" si="8"/>
        <v>-</v>
      </c>
      <c r="L10" s="29" t="str">
        <f t="shared" si="8"/>
        <v>-</v>
      </c>
      <c r="M10" s="29" t="str">
        <f t="shared" si="8"/>
        <v>-</v>
      </c>
      <c r="N10" s="29" t="str">
        <f t="shared" si="8"/>
        <v>-</v>
      </c>
      <c r="O10" s="30">
        <f t="shared" si="3"/>
        <v>0</v>
      </c>
    </row>
    <row r="11" ht="18.0" customHeight="1">
      <c r="A11" s="31" t="s">
        <v>73</v>
      </c>
      <c r="B11" s="51"/>
      <c r="C11" s="51"/>
      <c r="D11" s="51"/>
      <c r="E11" s="51"/>
      <c r="F11" s="51"/>
      <c r="G11" s="51"/>
      <c r="H11" s="52"/>
      <c r="I11" s="53"/>
      <c r="J11" s="35" t="str">
        <f t="shared" ref="J11:N11" si="9">IFERROR(C11/B11,"-")</f>
        <v>-</v>
      </c>
      <c r="K11" s="35" t="str">
        <f t="shared" si="9"/>
        <v>-</v>
      </c>
      <c r="L11" s="35" t="str">
        <f t="shared" si="9"/>
        <v>-</v>
      </c>
      <c r="M11" s="35" t="str">
        <f t="shared" si="9"/>
        <v>-</v>
      </c>
      <c r="N11" s="35" t="str">
        <f t="shared" si="9"/>
        <v>-</v>
      </c>
      <c r="O11" s="36">
        <f t="shared" si="3"/>
        <v>0</v>
      </c>
    </row>
    <row r="12" ht="18.0" customHeight="1">
      <c r="A12" s="25" t="s">
        <v>74</v>
      </c>
      <c r="B12" s="51"/>
      <c r="C12" s="51"/>
      <c r="D12" s="51"/>
      <c r="E12" s="51"/>
      <c r="F12" s="51"/>
      <c r="G12" s="51"/>
      <c r="H12" s="52"/>
      <c r="I12" s="53"/>
      <c r="J12" s="29" t="str">
        <f t="shared" ref="J12:N12" si="10">IFERROR(C12/B12,"-")</f>
        <v>-</v>
      </c>
      <c r="K12" s="29" t="str">
        <f t="shared" si="10"/>
        <v>-</v>
      </c>
      <c r="L12" s="29" t="str">
        <f t="shared" si="10"/>
        <v>-</v>
      </c>
      <c r="M12" s="29" t="str">
        <f t="shared" si="10"/>
        <v>-</v>
      </c>
      <c r="N12" s="29" t="str">
        <f t="shared" si="10"/>
        <v>-</v>
      </c>
      <c r="O12" s="30">
        <f t="shared" si="3"/>
        <v>0</v>
      </c>
    </row>
    <row r="13" ht="18.0" customHeight="1">
      <c r="A13" s="31" t="s">
        <v>75</v>
      </c>
      <c r="B13" s="51"/>
      <c r="C13" s="51"/>
      <c r="D13" s="51"/>
      <c r="E13" s="51"/>
      <c r="F13" s="51"/>
      <c r="G13" s="51"/>
      <c r="H13" s="52"/>
      <c r="I13" s="53"/>
      <c r="J13" s="35" t="str">
        <f t="shared" ref="J13:N13" si="11">IFERROR(C13/B13,"-")</f>
        <v>-</v>
      </c>
      <c r="K13" s="35" t="str">
        <f t="shared" si="11"/>
        <v>-</v>
      </c>
      <c r="L13" s="35" t="str">
        <f t="shared" si="11"/>
        <v>-</v>
      </c>
      <c r="M13" s="35" t="str">
        <f t="shared" si="11"/>
        <v>-</v>
      </c>
      <c r="N13" s="35" t="str">
        <f t="shared" si="11"/>
        <v>-</v>
      </c>
      <c r="O13" s="36">
        <f t="shared" si="3"/>
        <v>0</v>
      </c>
    </row>
    <row r="14" ht="18.0" customHeight="1">
      <c r="A14" s="25" t="s">
        <v>76</v>
      </c>
      <c r="B14" s="51"/>
      <c r="C14" s="51"/>
      <c r="D14" s="51"/>
      <c r="E14" s="51"/>
      <c r="F14" s="51"/>
      <c r="G14" s="51"/>
      <c r="H14" s="52"/>
      <c r="I14" s="53"/>
      <c r="J14" s="29" t="str">
        <f t="shared" ref="J14:N14" si="12">IFERROR(C14/B14,"-")</f>
        <v>-</v>
      </c>
      <c r="K14" s="29" t="str">
        <f t="shared" si="12"/>
        <v>-</v>
      </c>
      <c r="L14" s="29" t="str">
        <f t="shared" si="12"/>
        <v>-</v>
      </c>
      <c r="M14" s="29" t="str">
        <f t="shared" si="12"/>
        <v>-</v>
      </c>
      <c r="N14" s="29" t="str">
        <f t="shared" si="12"/>
        <v>-</v>
      </c>
      <c r="O14" s="30">
        <f t="shared" si="3"/>
        <v>0</v>
      </c>
    </row>
    <row r="15" ht="18.0" customHeight="1">
      <c r="A15" s="31" t="s">
        <v>77</v>
      </c>
      <c r="B15" s="51"/>
      <c r="C15" s="51"/>
      <c r="D15" s="51"/>
      <c r="E15" s="51"/>
      <c r="F15" s="51"/>
      <c r="G15" s="51"/>
      <c r="H15" s="52"/>
      <c r="I15" s="53"/>
      <c r="J15" s="35" t="str">
        <f t="shared" ref="J15:N15" si="13">IFERROR(C15/B15,"-")</f>
        <v>-</v>
      </c>
      <c r="K15" s="35" t="str">
        <f t="shared" si="13"/>
        <v>-</v>
      </c>
      <c r="L15" s="35" t="str">
        <f t="shared" si="13"/>
        <v>-</v>
      </c>
      <c r="M15" s="35" t="str">
        <f t="shared" si="13"/>
        <v>-</v>
      </c>
      <c r="N15" s="35" t="str">
        <f t="shared" si="13"/>
        <v>-</v>
      </c>
      <c r="O15" s="36">
        <f t="shared" si="3"/>
        <v>0</v>
      </c>
    </row>
    <row r="16" ht="4.5" customHeight="1"/>
    <row r="17" ht="21.75" customHeight="1">
      <c r="A17" s="37" t="s">
        <v>78</v>
      </c>
      <c r="B17" s="38">
        <f t="shared" ref="B17:G17" si="14">SUM(B4:B15)</f>
        <v>0</v>
      </c>
      <c r="C17" s="38">
        <f t="shared" si="14"/>
        <v>0</v>
      </c>
      <c r="D17" s="38">
        <f t="shared" si="14"/>
        <v>0</v>
      </c>
      <c r="E17" s="38">
        <f t="shared" si="14"/>
        <v>0</v>
      </c>
      <c r="F17" s="38">
        <f t="shared" si="14"/>
        <v>0</v>
      </c>
      <c r="G17" s="38">
        <f t="shared" si="14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41" t="str">
        <f t="shared" ref="J17:N17" si="15">IFERROR(C17/B17,"-")</f>
        <v>-</v>
      </c>
      <c r="K17" s="41" t="str">
        <f t="shared" si="15"/>
        <v>-</v>
      </c>
      <c r="L17" s="41" t="str">
        <f t="shared" si="15"/>
        <v>-</v>
      </c>
      <c r="M17" s="41" t="str">
        <f t="shared" si="15"/>
        <v>-</v>
      </c>
      <c r="N17" s="41" t="str">
        <f t="shared" si="15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99</v>
      </c>
      <c r="C3" s="22" t="s">
        <v>100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101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1"/>
      <c r="D4" s="51"/>
      <c r="E4" s="51"/>
      <c r="F4" s="51"/>
      <c r="G4" s="51"/>
      <c r="H4" s="52"/>
      <c r="I4" s="53"/>
      <c r="J4" s="29" t="str">
        <f t="shared" ref="J4:N4" si="1">IFERROR(C4/B4,"-")</f>
        <v>-</v>
      </c>
      <c r="K4" s="29" t="str">
        <f t="shared" si="1"/>
        <v>-</v>
      </c>
      <c r="L4" s="29" t="str">
        <f t="shared" si="1"/>
        <v>-</v>
      </c>
      <c r="M4" s="29" t="str">
        <f t="shared" si="1"/>
        <v>-</v>
      </c>
      <c r="N4" s="29" t="str">
        <f t="shared" si="1"/>
        <v>-</v>
      </c>
      <c r="O4" s="30">
        <f t="shared" ref="O4:O15" si="3">IFERROR(G4*H4,"-")</f>
        <v>0</v>
      </c>
    </row>
    <row r="5" ht="18.0" customHeight="1">
      <c r="A5" s="31" t="s">
        <v>67</v>
      </c>
      <c r="B5" s="51"/>
      <c r="C5" s="51"/>
      <c r="D5" s="51"/>
      <c r="E5" s="51"/>
      <c r="F5" s="51"/>
      <c r="G5" s="51"/>
      <c r="H5" s="52"/>
      <c r="I5" s="53"/>
      <c r="J5" s="35" t="str">
        <f t="shared" ref="J5:N5" si="2">IFERROR(C5/B5,"-")</f>
        <v>-</v>
      </c>
      <c r="K5" s="35" t="str">
        <f t="shared" si="2"/>
        <v>-</v>
      </c>
      <c r="L5" s="35" t="str">
        <f t="shared" si="2"/>
        <v>-</v>
      </c>
      <c r="M5" s="35" t="str">
        <f t="shared" si="2"/>
        <v>-</v>
      </c>
      <c r="N5" s="35" t="str">
        <f t="shared" si="2"/>
        <v>-</v>
      </c>
      <c r="O5" s="36">
        <f t="shared" si="3"/>
        <v>0</v>
      </c>
    </row>
    <row r="6" ht="18.0" customHeight="1">
      <c r="A6" s="25" t="s">
        <v>68</v>
      </c>
      <c r="B6" s="51"/>
      <c r="C6" s="51"/>
      <c r="D6" s="51"/>
      <c r="E6" s="51"/>
      <c r="F6" s="51"/>
      <c r="G6" s="51"/>
      <c r="H6" s="52"/>
      <c r="I6" s="53"/>
      <c r="J6" s="29" t="str">
        <f t="shared" ref="J6:N6" si="4">IFERROR(C6/B6,"-")</f>
        <v>-</v>
      </c>
      <c r="K6" s="29" t="str">
        <f t="shared" si="4"/>
        <v>-</v>
      </c>
      <c r="L6" s="29" t="str">
        <f t="shared" si="4"/>
        <v>-</v>
      </c>
      <c r="M6" s="29" t="str">
        <f t="shared" si="4"/>
        <v>-</v>
      </c>
      <c r="N6" s="29" t="str">
        <f t="shared" si="4"/>
        <v>-</v>
      </c>
      <c r="O6" s="30">
        <f t="shared" si="3"/>
        <v>0</v>
      </c>
    </row>
    <row r="7" ht="18.0" customHeight="1">
      <c r="A7" s="31" t="s">
        <v>69</v>
      </c>
      <c r="B7" s="51"/>
      <c r="C7" s="51"/>
      <c r="D7" s="51"/>
      <c r="E7" s="51"/>
      <c r="F7" s="51"/>
      <c r="G7" s="51"/>
      <c r="H7" s="52"/>
      <c r="I7" s="53"/>
      <c r="J7" s="35" t="str">
        <f t="shared" ref="J7:N7" si="5">IFERROR(C7/B7,"-")</f>
        <v>-</v>
      </c>
      <c r="K7" s="35" t="str">
        <f t="shared" si="5"/>
        <v>-</v>
      </c>
      <c r="L7" s="35" t="str">
        <f t="shared" si="5"/>
        <v>-</v>
      </c>
      <c r="M7" s="35" t="str">
        <f t="shared" si="5"/>
        <v>-</v>
      </c>
      <c r="N7" s="35" t="str">
        <f t="shared" si="5"/>
        <v>-</v>
      </c>
      <c r="O7" s="36">
        <f t="shared" si="3"/>
        <v>0</v>
      </c>
    </row>
    <row r="8" ht="18.0" customHeight="1">
      <c r="A8" s="25" t="s">
        <v>70</v>
      </c>
      <c r="B8" s="51"/>
      <c r="C8" s="51"/>
      <c r="D8" s="51"/>
      <c r="E8" s="51"/>
      <c r="F8" s="51"/>
      <c r="G8" s="51"/>
      <c r="H8" s="52"/>
      <c r="I8" s="53"/>
      <c r="J8" s="29" t="str">
        <f t="shared" ref="J8:N8" si="6">IFERROR(C8/B8,"-")</f>
        <v>-</v>
      </c>
      <c r="K8" s="29" t="str">
        <f t="shared" si="6"/>
        <v>-</v>
      </c>
      <c r="L8" s="29" t="str">
        <f t="shared" si="6"/>
        <v>-</v>
      </c>
      <c r="M8" s="29" t="str">
        <f t="shared" si="6"/>
        <v>-</v>
      </c>
      <c r="N8" s="29" t="str">
        <f t="shared" si="6"/>
        <v>-</v>
      </c>
      <c r="O8" s="30">
        <f t="shared" si="3"/>
        <v>0</v>
      </c>
    </row>
    <row r="9" ht="18.0" customHeight="1">
      <c r="A9" s="31" t="s">
        <v>71</v>
      </c>
      <c r="B9" s="51"/>
      <c r="C9" s="51"/>
      <c r="D9" s="51"/>
      <c r="E9" s="51"/>
      <c r="F9" s="51"/>
      <c r="G9" s="51"/>
      <c r="H9" s="52"/>
      <c r="I9" s="53"/>
      <c r="J9" s="35" t="str">
        <f t="shared" ref="J9:N9" si="7">IFERROR(C9/B9,"-")</f>
        <v>-</v>
      </c>
      <c r="K9" s="35" t="str">
        <f t="shared" si="7"/>
        <v>-</v>
      </c>
      <c r="L9" s="35" t="str">
        <f t="shared" si="7"/>
        <v>-</v>
      </c>
      <c r="M9" s="35" t="str">
        <f t="shared" si="7"/>
        <v>-</v>
      </c>
      <c r="N9" s="35" t="str">
        <f t="shared" si="7"/>
        <v>-</v>
      </c>
      <c r="O9" s="36">
        <f t="shared" si="3"/>
        <v>0</v>
      </c>
    </row>
    <row r="10" ht="18.0" customHeight="1">
      <c r="A10" s="25" t="s">
        <v>72</v>
      </c>
      <c r="B10" s="51"/>
      <c r="C10" s="51"/>
      <c r="D10" s="51"/>
      <c r="E10" s="51"/>
      <c r="F10" s="51"/>
      <c r="G10" s="51"/>
      <c r="H10" s="52"/>
      <c r="I10" s="53"/>
      <c r="J10" s="29" t="str">
        <f t="shared" ref="J10:N10" si="8">IFERROR(C10/B10,"-")</f>
        <v>-</v>
      </c>
      <c r="K10" s="29" t="str">
        <f t="shared" si="8"/>
        <v>-</v>
      </c>
      <c r="L10" s="29" t="str">
        <f t="shared" si="8"/>
        <v>-</v>
      </c>
      <c r="M10" s="29" t="str">
        <f t="shared" si="8"/>
        <v>-</v>
      </c>
      <c r="N10" s="29" t="str">
        <f t="shared" si="8"/>
        <v>-</v>
      </c>
      <c r="O10" s="30">
        <f t="shared" si="3"/>
        <v>0</v>
      </c>
    </row>
    <row r="11" ht="18.0" customHeight="1">
      <c r="A11" s="31" t="s">
        <v>73</v>
      </c>
      <c r="B11" s="51"/>
      <c r="C11" s="51"/>
      <c r="D11" s="51"/>
      <c r="E11" s="51"/>
      <c r="F11" s="51"/>
      <c r="G11" s="51"/>
      <c r="H11" s="52"/>
      <c r="I11" s="53"/>
      <c r="J11" s="35" t="str">
        <f t="shared" ref="J11:N11" si="9">IFERROR(C11/B11,"-")</f>
        <v>-</v>
      </c>
      <c r="K11" s="35" t="str">
        <f t="shared" si="9"/>
        <v>-</v>
      </c>
      <c r="L11" s="35" t="str">
        <f t="shared" si="9"/>
        <v>-</v>
      </c>
      <c r="M11" s="35" t="str">
        <f t="shared" si="9"/>
        <v>-</v>
      </c>
      <c r="N11" s="35" t="str">
        <f t="shared" si="9"/>
        <v>-</v>
      </c>
      <c r="O11" s="36">
        <f t="shared" si="3"/>
        <v>0</v>
      </c>
    </row>
    <row r="12" ht="18.0" customHeight="1">
      <c r="A12" s="25" t="s">
        <v>74</v>
      </c>
      <c r="B12" s="51"/>
      <c r="C12" s="51"/>
      <c r="D12" s="51"/>
      <c r="E12" s="51"/>
      <c r="F12" s="51"/>
      <c r="G12" s="51"/>
      <c r="H12" s="52"/>
      <c r="I12" s="53"/>
      <c r="J12" s="29" t="str">
        <f t="shared" ref="J12:N12" si="10">IFERROR(C12/B12,"-")</f>
        <v>-</v>
      </c>
      <c r="K12" s="29" t="str">
        <f t="shared" si="10"/>
        <v>-</v>
      </c>
      <c r="L12" s="29" t="str">
        <f t="shared" si="10"/>
        <v>-</v>
      </c>
      <c r="M12" s="29" t="str">
        <f t="shared" si="10"/>
        <v>-</v>
      </c>
      <c r="N12" s="29" t="str">
        <f t="shared" si="10"/>
        <v>-</v>
      </c>
      <c r="O12" s="30">
        <f t="shared" si="3"/>
        <v>0</v>
      </c>
    </row>
    <row r="13" ht="18.0" customHeight="1">
      <c r="A13" s="31" t="s">
        <v>75</v>
      </c>
      <c r="B13" s="51"/>
      <c r="C13" s="51"/>
      <c r="D13" s="51"/>
      <c r="E13" s="51"/>
      <c r="F13" s="51"/>
      <c r="G13" s="51"/>
      <c r="H13" s="52"/>
      <c r="I13" s="53"/>
      <c r="J13" s="35" t="str">
        <f t="shared" ref="J13:N13" si="11">IFERROR(C13/B13,"-")</f>
        <v>-</v>
      </c>
      <c r="K13" s="35" t="str">
        <f t="shared" si="11"/>
        <v>-</v>
      </c>
      <c r="L13" s="35" t="str">
        <f t="shared" si="11"/>
        <v>-</v>
      </c>
      <c r="M13" s="35" t="str">
        <f t="shared" si="11"/>
        <v>-</v>
      </c>
      <c r="N13" s="35" t="str">
        <f t="shared" si="11"/>
        <v>-</v>
      </c>
      <c r="O13" s="36">
        <f t="shared" si="3"/>
        <v>0</v>
      </c>
    </row>
    <row r="14" ht="18.0" customHeight="1">
      <c r="A14" s="25" t="s">
        <v>76</v>
      </c>
      <c r="B14" s="51"/>
      <c r="C14" s="51"/>
      <c r="D14" s="51"/>
      <c r="E14" s="51"/>
      <c r="F14" s="51"/>
      <c r="G14" s="51"/>
      <c r="H14" s="52"/>
      <c r="I14" s="53"/>
      <c r="J14" s="29" t="str">
        <f t="shared" ref="J14:N14" si="12">IFERROR(C14/B14,"-")</f>
        <v>-</v>
      </c>
      <c r="K14" s="29" t="str">
        <f t="shared" si="12"/>
        <v>-</v>
      </c>
      <c r="L14" s="29" t="str">
        <f t="shared" si="12"/>
        <v>-</v>
      </c>
      <c r="M14" s="29" t="str">
        <f t="shared" si="12"/>
        <v>-</v>
      </c>
      <c r="N14" s="29" t="str">
        <f t="shared" si="12"/>
        <v>-</v>
      </c>
      <c r="O14" s="30">
        <f t="shared" si="3"/>
        <v>0</v>
      </c>
    </row>
    <row r="15" ht="18.0" customHeight="1">
      <c r="A15" s="31" t="s">
        <v>77</v>
      </c>
      <c r="B15" s="51"/>
      <c r="C15" s="51"/>
      <c r="D15" s="51"/>
      <c r="E15" s="51"/>
      <c r="F15" s="51"/>
      <c r="G15" s="51"/>
      <c r="H15" s="52"/>
      <c r="I15" s="53"/>
      <c r="J15" s="35" t="str">
        <f t="shared" ref="J15:N15" si="13">IFERROR(C15/B15,"-")</f>
        <v>-</v>
      </c>
      <c r="K15" s="35" t="str">
        <f t="shared" si="13"/>
        <v>-</v>
      </c>
      <c r="L15" s="35" t="str">
        <f t="shared" si="13"/>
        <v>-</v>
      </c>
      <c r="M15" s="35" t="str">
        <f t="shared" si="13"/>
        <v>-</v>
      </c>
      <c r="N15" s="35" t="str">
        <f t="shared" si="13"/>
        <v>-</v>
      </c>
      <c r="O15" s="36">
        <f t="shared" si="3"/>
        <v>0</v>
      </c>
    </row>
    <row r="16" ht="4.5" customHeight="1"/>
    <row r="17" ht="21.75" customHeight="1">
      <c r="A17" s="37" t="s">
        <v>78</v>
      </c>
      <c r="B17" s="38">
        <f t="shared" ref="B17:G17" si="14">SUM(B4:B15)</f>
        <v>0</v>
      </c>
      <c r="C17" s="38">
        <f t="shared" si="14"/>
        <v>0</v>
      </c>
      <c r="D17" s="38">
        <f t="shared" si="14"/>
        <v>0</v>
      </c>
      <c r="E17" s="38">
        <f t="shared" si="14"/>
        <v>0</v>
      </c>
      <c r="F17" s="38">
        <f t="shared" si="14"/>
        <v>0</v>
      </c>
      <c r="G17" s="38">
        <f t="shared" si="14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41" t="str">
        <f t="shared" ref="J17:N17" si="15">IFERROR(C17/B17,"-")</f>
        <v>-</v>
      </c>
      <c r="K17" s="41" t="str">
        <f t="shared" si="15"/>
        <v>-</v>
      </c>
      <c r="L17" s="41" t="str">
        <f t="shared" si="15"/>
        <v>-</v>
      </c>
      <c r="M17" s="41" t="str">
        <f t="shared" si="15"/>
        <v>-</v>
      </c>
      <c r="N17" s="41" t="str">
        <f t="shared" si="15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102</v>
      </c>
      <c r="C3" s="22" t="s">
        <v>103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103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8" t="s">
        <v>103</v>
      </c>
      <c r="D4" s="51"/>
      <c r="E4" s="51"/>
      <c r="F4" s="51"/>
      <c r="G4" s="51"/>
      <c r="H4" s="52"/>
      <c r="I4" s="53"/>
      <c r="J4" s="59" t="s">
        <v>103</v>
      </c>
      <c r="K4" s="29" t="str">
        <f t="shared" ref="K4:K15" si="2">IFERROR(D4/B4,"-")</f>
        <v>-</v>
      </c>
      <c r="L4" s="29" t="str">
        <f t="shared" ref="L4:N4" si="1">IFERROR(E4/D4,"-")</f>
        <v>-</v>
      </c>
      <c r="M4" s="29" t="str">
        <f t="shared" si="1"/>
        <v>-</v>
      </c>
      <c r="N4" s="29" t="str">
        <f t="shared" si="1"/>
        <v>-</v>
      </c>
      <c r="O4" s="30">
        <f t="shared" ref="O4:O15" si="4">IFERROR(G4*H4,"-")</f>
        <v>0</v>
      </c>
    </row>
    <row r="5" ht="18.0" customHeight="1">
      <c r="A5" s="31" t="s">
        <v>67</v>
      </c>
      <c r="B5" s="51"/>
      <c r="C5" s="58" t="s">
        <v>103</v>
      </c>
      <c r="D5" s="51"/>
      <c r="E5" s="51"/>
      <c r="F5" s="51"/>
      <c r="G5" s="51"/>
      <c r="H5" s="52"/>
      <c r="I5" s="53"/>
      <c r="J5" s="60" t="s">
        <v>103</v>
      </c>
      <c r="K5" s="35" t="str">
        <f t="shared" si="2"/>
        <v>-</v>
      </c>
      <c r="L5" s="35" t="str">
        <f t="shared" ref="L5:N5" si="3">IFERROR(E5/D5,"-")</f>
        <v>-</v>
      </c>
      <c r="M5" s="35" t="str">
        <f t="shared" si="3"/>
        <v>-</v>
      </c>
      <c r="N5" s="35" t="str">
        <f t="shared" si="3"/>
        <v>-</v>
      </c>
      <c r="O5" s="36">
        <f t="shared" si="4"/>
        <v>0</v>
      </c>
    </row>
    <row r="6" ht="18.0" customHeight="1">
      <c r="A6" s="25" t="s">
        <v>68</v>
      </c>
      <c r="B6" s="51"/>
      <c r="C6" s="58" t="s">
        <v>103</v>
      </c>
      <c r="D6" s="51"/>
      <c r="E6" s="51"/>
      <c r="F6" s="51"/>
      <c r="G6" s="51"/>
      <c r="H6" s="52"/>
      <c r="I6" s="53"/>
      <c r="J6" s="59" t="s">
        <v>103</v>
      </c>
      <c r="K6" s="29" t="str">
        <f t="shared" si="2"/>
        <v>-</v>
      </c>
      <c r="L6" s="29" t="str">
        <f t="shared" ref="L6:N6" si="5">IFERROR(E6/D6,"-")</f>
        <v>-</v>
      </c>
      <c r="M6" s="29" t="str">
        <f t="shared" si="5"/>
        <v>-</v>
      </c>
      <c r="N6" s="29" t="str">
        <f t="shared" si="5"/>
        <v>-</v>
      </c>
      <c r="O6" s="30">
        <f t="shared" si="4"/>
        <v>0</v>
      </c>
    </row>
    <row r="7" ht="18.0" customHeight="1">
      <c r="A7" s="31" t="s">
        <v>69</v>
      </c>
      <c r="B7" s="51"/>
      <c r="C7" s="58" t="s">
        <v>103</v>
      </c>
      <c r="D7" s="51"/>
      <c r="E7" s="51"/>
      <c r="F7" s="51"/>
      <c r="G7" s="51"/>
      <c r="H7" s="52"/>
      <c r="I7" s="53"/>
      <c r="J7" s="60" t="s">
        <v>103</v>
      </c>
      <c r="K7" s="35" t="str">
        <f t="shared" si="2"/>
        <v>-</v>
      </c>
      <c r="L7" s="35" t="str">
        <f t="shared" ref="L7:N7" si="6">IFERROR(E7/D7,"-")</f>
        <v>-</v>
      </c>
      <c r="M7" s="35" t="str">
        <f t="shared" si="6"/>
        <v>-</v>
      </c>
      <c r="N7" s="35" t="str">
        <f t="shared" si="6"/>
        <v>-</v>
      </c>
      <c r="O7" s="36">
        <f t="shared" si="4"/>
        <v>0</v>
      </c>
    </row>
    <row r="8" ht="18.0" customHeight="1">
      <c r="A8" s="25" t="s">
        <v>70</v>
      </c>
      <c r="B8" s="51"/>
      <c r="C8" s="58" t="s">
        <v>103</v>
      </c>
      <c r="D8" s="51"/>
      <c r="E8" s="51"/>
      <c r="F8" s="51"/>
      <c r="G8" s="51"/>
      <c r="H8" s="52"/>
      <c r="I8" s="53"/>
      <c r="J8" s="59" t="s">
        <v>103</v>
      </c>
      <c r="K8" s="29" t="str">
        <f t="shared" si="2"/>
        <v>-</v>
      </c>
      <c r="L8" s="29" t="str">
        <f t="shared" ref="L8:N8" si="7">IFERROR(E8/D8,"-")</f>
        <v>-</v>
      </c>
      <c r="M8" s="29" t="str">
        <f t="shared" si="7"/>
        <v>-</v>
      </c>
      <c r="N8" s="29" t="str">
        <f t="shared" si="7"/>
        <v>-</v>
      </c>
      <c r="O8" s="30">
        <f t="shared" si="4"/>
        <v>0</v>
      </c>
    </row>
    <row r="9" ht="18.0" customHeight="1">
      <c r="A9" s="31" t="s">
        <v>71</v>
      </c>
      <c r="B9" s="51"/>
      <c r="C9" s="58" t="s">
        <v>103</v>
      </c>
      <c r="D9" s="51"/>
      <c r="E9" s="51"/>
      <c r="F9" s="51"/>
      <c r="G9" s="51"/>
      <c r="H9" s="52"/>
      <c r="I9" s="53"/>
      <c r="J9" s="60" t="s">
        <v>103</v>
      </c>
      <c r="K9" s="35" t="str">
        <f t="shared" si="2"/>
        <v>-</v>
      </c>
      <c r="L9" s="35" t="str">
        <f t="shared" ref="L9:N9" si="8">IFERROR(E9/D9,"-")</f>
        <v>-</v>
      </c>
      <c r="M9" s="35" t="str">
        <f t="shared" si="8"/>
        <v>-</v>
      </c>
      <c r="N9" s="35" t="str">
        <f t="shared" si="8"/>
        <v>-</v>
      </c>
      <c r="O9" s="36">
        <f t="shared" si="4"/>
        <v>0</v>
      </c>
    </row>
    <row r="10" ht="18.0" customHeight="1">
      <c r="A10" s="25" t="s">
        <v>72</v>
      </c>
      <c r="B10" s="51"/>
      <c r="C10" s="58" t="s">
        <v>103</v>
      </c>
      <c r="D10" s="51"/>
      <c r="E10" s="51"/>
      <c r="F10" s="51"/>
      <c r="G10" s="51"/>
      <c r="H10" s="52"/>
      <c r="I10" s="53"/>
      <c r="J10" s="59" t="s">
        <v>103</v>
      </c>
      <c r="K10" s="29" t="str">
        <f t="shared" si="2"/>
        <v>-</v>
      </c>
      <c r="L10" s="29" t="str">
        <f t="shared" ref="L10:N10" si="9">IFERROR(E10/D10,"-")</f>
        <v>-</v>
      </c>
      <c r="M10" s="29" t="str">
        <f t="shared" si="9"/>
        <v>-</v>
      </c>
      <c r="N10" s="29" t="str">
        <f t="shared" si="9"/>
        <v>-</v>
      </c>
      <c r="O10" s="30">
        <f t="shared" si="4"/>
        <v>0</v>
      </c>
    </row>
    <row r="11" ht="18.0" customHeight="1">
      <c r="A11" s="31" t="s">
        <v>73</v>
      </c>
      <c r="B11" s="51"/>
      <c r="C11" s="58" t="s">
        <v>103</v>
      </c>
      <c r="D11" s="51"/>
      <c r="E11" s="51"/>
      <c r="F11" s="51"/>
      <c r="G11" s="51"/>
      <c r="H11" s="52"/>
      <c r="I11" s="53"/>
      <c r="J11" s="60" t="s">
        <v>103</v>
      </c>
      <c r="K11" s="35" t="str">
        <f t="shared" si="2"/>
        <v>-</v>
      </c>
      <c r="L11" s="35" t="str">
        <f t="shared" ref="L11:N11" si="10">IFERROR(E11/D11,"-")</f>
        <v>-</v>
      </c>
      <c r="M11" s="35" t="str">
        <f t="shared" si="10"/>
        <v>-</v>
      </c>
      <c r="N11" s="35" t="str">
        <f t="shared" si="10"/>
        <v>-</v>
      </c>
      <c r="O11" s="36">
        <f t="shared" si="4"/>
        <v>0</v>
      </c>
    </row>
    <row r="12" ht="18.0" customHeight="1">
      <c r="A12" s="25" t="s">
        <v>74</v>
      </c>
      <c r="B12" s="51"/>
      <c r="C12" s="58" t="s">
        <v>103</v>
      </c>
      <c r="D12" s="51"/>
      <c r="E12" s="51"/>
      <c r="F12" s="51"/>
      <c r="G12" s="51"/>
      <c r="H12" s="52"/>
      <c r="I12" s="53"/>
      <c r="J12" s="59" t="s">
        <v>103</v>
      </c>
      <c r="K12" s="29" t="str">
        <f t="shared" si="2"/>
        <v>-</v>
      </c>
      <c r="L12" s="29" t="str">
        <f t="shared" ref="L12:N12" si="11">IFERROR(E12/D12,"-")</f>
        <v>-</v>
      </c>
      <c r="M12" s="29" t="str">
        <f t="shared" si="11"/>
        <v>-</v>
      </c>
      <c r="N12" s="29" t="str">
        <f t="shared" si="11"/>
        <v>-</v>
      </c>
      <c r="O12" s="30">
        <f t="shared" si="4"/>
        <v>0</v>
      </c>
    </row>
    <row r="13" ht="18.0" customHeight="1">
      <c r="A13" s="31" t="s">
        <v>75</v>
      </c>
      <c r="B13" s="51"/>
      <c r="C13" s="58" t="s">
        <v>103</v>
      </c>
      <c r="D13" s="51"/>
      <c r="E13" s="51"/>
      <c r="F13" s="51"/>
      <c r="G13" s="51"/>
      <c r="H13" s="52"/>
      <c r="I13" s="53"/>
      <c r="J13" s="60" t="s">
        <v>103</v>
      </c>
      <c r="K13" s="35" t="str">
        <f t="shared" si="2"/>
        <v>-</v>
      </c>
      <c r="L13" s="35" t="str">
        <f t="shared" ref="L13:N13" si="12">IFERROR(E13/D13,"-")</f>
        <v>-</v>
      </c>
      <c r="M13" s="35" t="str">
        <f t="shared" si="12"/>
        <v>-</v>
      </c>
      <c r="N13" s="35" t="str">
        <f t="shared" si="12"/>
        <v>-</v>
      </c>
      <c r="O13" s="36">
        <f t="shared" si="4"/>
        <v>0</v>
      </c>
    </row>
    <row r="14" ht="18.0" customHeight="1">
      <c r="A14" s="25" t="s">
        <v>76</v>
      </c>
      <c r="B14" s="51"/>
      <c r="C14" s="58" t="s">
        <v>103</v>
      </c>
      <c r="D14" s="51"/>
      <c r="E14" s="51"/>
      <c r="F14" s="51"/>
      <c r="G14" s="51"/>
      <c r="H14" s="52"/>
      <c r="I14" s="53"/>
      <c r="J14" s="59" t="s">
        <v>103</v>
      </c>
      <c r="K14" s="29" t="str">
        <f t="shared" si="2"/>
        <v>-</v>
      </c>
      <c r="L14" s="29" t="str">
        <f t="shared" ref="L14:N14" si="13">IFERROR(E14/D14,"-")</f>
        <v>-</v>
      </c>
      <c r="M14" s="29" t="str">
        <f t="shared" si="13"/>
        <v>-</v>
      </c>
      <c r="N14" s="29" t="str">
        <f t="shared" si="13"/>
        <v>-</v>
      </c>
      <c r="O14" s="30">
        <f t="shared" si="4"/>
        <v>0</v>
      </c>
    </row>
    <row r="15" ht="18.0" customHeight="1">
      <c r="A15" s="31" t="s">
        <v>77</v>
      </c>
      <c r="B15" s="51"/>
      <c r="C15" s="58" t="s">
        <v>103</v>
      </c>
      <c r="D15" s="51"/>
      <c r="E15" s="51"/>
      <c r="F15" s="51"/>
      <c r="G15" s="51"/>
      <c r="H15" s="52"/>
      <c r="I15" s="53"/>
      <c r="J15" s="60" t="s">
        <v>103</v>
      </c>
      <c r="K15" s="35" t="str">
        <f t="shared" si="2"/>
        <v>-</v>
      </c>
      <c r="L15" s="35" t="str">
        <f t="shared" ref="L15:N15" si="14">IFERROR(E15/D15,"-")</f>
        <v>-</v>
      </c>
      <c r="M15" s="35" t="str">
        <f t="shared" si="14"/>
        <v>-</v>
      </c>
      <c r="N15" s="35" t="str">
        <f t="shared" si="14"/>
        <v>-</v>
      </c>
      <c r="O15" s="36">
        <f t="shared" si="4"/>
        <v>0</v>
      </c>
    </row>
    <row r="16" ht="4.5" customHeight="1"/>
    <row r="17" ht="21.75" customHeight="1">
      <c r="A17" s="37" t="s">
        <v>78</v>
      </c>
      <c r="B17" s="38">
        <f>SUM(B4:B15)</f>
        <v>0</v>
      </c>
      <c r="C17" s="61" t="s">
        <v>103</v>
      </c>
      <c r="D17" s="38">
        <f t="shared" ref="D17:G17" si="15">SUM(D4:D15)</f>
        <v>0</v>
      </c>
      <c r="E17" s="38">
        <f t="shared" si="15"/>
        <v>0</v>
      </c>
      <c r="F17" s="38">
        <f t="shared" si="15"/>
        <v>0</v>
      </c>
      <c r="G17" s="38">
        <f t="shared" si="15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61" t="s">
        <v>103</v>
      </c>
      <c r="K17" s="41" t="str">
        <f>IFERROR(D17/B17,"-")</f>
        <v>-</v>
      </c>
      <c r="L17" s="41" t="str">
        <f t="shared" ref="L17:N17" si="16">IFERROR(E17/D17,"-")</f>
        <v>-</v>
      </c>
      <c r="M17" s="41" t="str">
        <f t="shared" si="16"/>
        <v>-</v>
      </c>
      <c r="N17" s="41" t="str">
        <f t="shared" si="16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104</v>
      </c>
      <c r="C3" s="22" t="s">
        <v>105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106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1"/>
      <c r="D4" s="51"/>
      <c r="E4" s="51"/>
      <c r="F4" s="51"/>
      <c r="G4" s="51"/>
      <c r="H4" s="52"/>
      <c r="I4" s="53"/>
      <c r="J4" s="29" t="str">
        <f t="shared" ref="J4:N4" si="1">IFERROR(C4/B4,"-")</f>
        <v>-</v>
      </c>
      <c r="K4" s="29" t="str">
        <f t="shared" si="1"/>
        <v>-</v>
      </c>
      <c r="L4" s="29" t="str">
        <f t="shared" si="1"/>
        <v>-</v>
      </c>
      <c r="M4" s="29" t="str">
        <f t="shared" si="1"/>
        <v>-</v>
      </c>
      <c r="N4" s="29" t="str">
        <f t="shared" si="1"/>
        <v>-</v>
      </c>
      <c r="O4" s="30">
        <f t="shared" ref="O4:O15" si="3">IFERROR(G4*H4,"-")</f>
        <v>0</v>
      </c>
    </row>
    <row r="5" ht="18.0" customHeight="1">
      <c r="A5" s="31" t="s">
        <v>67</v>
      </c>
      <c r="B5" s="51"/>
      <c r="C5" s="51"/>
      <c r="D5" s="51"/>
      <c r="E5" s="51"/>
      <c r="F5" s="51"/>
      <c r="G5" s="51"/>
      <c r="H5" s="52"/>
      <c r="I5" s="53"/>
      <c r="J5" s="35" t="str">
        <f t="shared" ref="J5:N5" si="2">IFERROR(C5/B5,"-")</f>
        <v>-</v>
      </c>
      <c r="K5" s="35" t="str">
        <f t="shared" si="2"/>
        <v>-</v>
      </c>
      <c r="L5" s="35" t="str">
        <f t="shared" si="2"/>
        <v>-</v>
      </c>
      <c r="M5" s="35" t="str">
        <f t="shared" si="2"/>
        <v>-</v>
      </c>
      <c r="N5" s="35" t="str">
        <f t="shared" si="2"/>
        <v>-</v>
      </c>
      <c r="O5" s="36">
        <f t="shared" si="3"/>
        <v>0</v>
      </c>
    </row>
    <row r="6" ht="18.0" customHeight="1">
      <c r="A6" s="25" t="s">
        <v>68</v>
      </c>
      <c r="B6" s="51"/>
      <c r="C6" s="51"/>
      <c r="D6" s="51"/>
      <c r="E6" s="51"/>
      <c r="F6" s="51"/>
      <c r="G6" s="51"/>
      <c r="H6" s="52"/>
      <c r="I6" s="53"/>
      <c r="J6" s="29" t="str">
        <f t="shared" ref="J6:N6" si="4">IFERROR(C6/B6,"-")</f>
        <v>-</v>
      </c>
      <c r="K6" s="29" t="str">
        <f t="shared" si="4"/>
        <v>-</v>
      </c>
      <c r="L6" s="29" t="str">
        <f t="shared" si="4"/>
        <v>-</v>
      </c>
      <c r="M6" s="29" t="str">
        <f t="shared" si="4"/>
        <v>-</v>
      </c>
      <c r="N6" s="29" t="str">
        <f t="shared" si="4"/>
        <v>-</v>
      </c>
      <c r="O6" s="30">
        <f t="shared" si="3"/>
        <v>0</v>
      </c>
    </row>
    <row r="7" ht="18.0" customHeight="1">
      <c r="A7" s="31" t="s">
        <v>69</v>
      </c>
      <c r="B7" s="51"/>
      <c r="C7" s="51"/>
      <c r="D7" s="51"/>
      <c r="E7" s="51"/>
      <c r="F7" s="51"/>
      <c r="G7" s="51"/>
      <c r="H7" s="52"/>
      <c r="I7" s="53"/>
      <c r="J7" s="35" t="str">
        <f t="shared" ref="J7:N7" si="5">IFERROR(C7/B7,"-")</f>
        <v>-</v>
      </c>
      <c r="K7" s="35" t="str">
        <f t="shared" si="5"/>
        <v>-</v>
      </c>
      <c r="L7" s="35" t="str">
        <f t="shared" si="5"/>
        <v>-</v>
      </c>
      <c r="M7" s="35" t="str">
        <f t="shared" si="5"/>
        <v>-</v>
      </c>
      <c r="N7" s="35" t="str">
        <f t="shared" si="5"/>
        <v>-</v>
      </c>
      <c r="O7" s="36">
        <f t="shared" si="3"/>
        <v>0</v>
      </c>
    </row>
    <row r="8" ht="18.0" customHeight="1">
      <c r="A8" s="25" t="s">
        <v>70</v>
      </c>
      <c r="B8" s="51"/>
      <c r="C8" s="51"/>
      <c r="D8" s="51"/>
      <c r="E8" s="51"/>
      <c r="F8" s="51"/>
      <c r="G8" s="51"/>
      <c r="H8" s="52"/>
      <c r="I8" s="53"/>
      <c r="J8" s="29" t="str">
        <f t="shared" ref="J8:N8" si="6">IFERROR(C8/B8,"-")</f>
        <v>-</v>
      </c>
      <c r="K8" s="29" t="str">
        <f t="shared" si="6"/>
        <v>-</v>
      </c>
      <c r="L8" s="29" t="str">
        <f t="shared" si="6"/>
        <v>-</v>
      </c>
      <c r="M8" s="29" t="str">
        <f t="shared" si="6"/>
        <v>-</v>
      </c>
      <c r="N8" s="29" t="str">
        <f t="shared" si="6"/>
        <v>-</v>
      </c>
      <c r="O8" s="30">
        <f t="shared" si="3"/>
        <v>0</v>
      </c>
    </row>
    <row r="9" ht="18.0" customHeight="1">
      <c r="A9" s="31" t="s">
        <v>71</v>
      </c>
      <c r="B9" s="51"/>
      <c r="C9" s="51"/>
      <c r="D9" s="51"/>
      <c r="E9" s="51"/>
      <c r="F9" s="51"/>
      <c r="G9" s="51"/>
      <c r="H9" s="52"/>
      <c r="I9" s="53"/>
      <c r="J9" s="35" t="str">
        <f t="shared" ref="J9:N9" si="7">IFERROR(C9/B9,"-")</f>
        <v>-</v>
      </c>
      <c r="K9" s="35" t="str">
        <f t="shared" si="7"/>
        <v>-</v>
      </c>
      <c r="L9" s="35" t="str">
        <f t="shared" si="7"/>
        <v>-</v>
      </c>
      <c r="M9" s="35" t="str">
        <f t="shared" si="7"/>
        <v>-</v>
      </c>
      <c r="N9" s="35" t="str">
        <f t="shared" si="7"/>
        <v>-</v>
      </c>
      <c r="O9" s="36">
        <f t="shared" si="3"/>
        <v>0</v>
      </c>
    </row>
    <row r="10" ht="18.0" customHeight="1">
      <c r="A10" s="25" t="s">
        <v>72</v>
      </c>
      <c r="B10" s="51"/>
      <c r="C10" s="51"/>
      <c r="D10" s="51"/>
      <c r="E10" s="51"/>
      <c r="F10" s="51"/>
      <c r="G10" s="51"/>
      <c r="H10" s="52"/>
      <c r="I10" s="53"/>
      <c r="J10" s="29" t="str">
        <f t="shared" ref="J10:N10" si="8">IFERROR(C10/B10,"-")</f>
        <v>-</v>
      </c>
      <c r="K10" s="29" t="str">
        <f t="shared" si="8"/>
        <v>-</v>
      </c>
      <c r="L10" s="29" t="str">
        <f t="shared" si="8"/>
        <v>-</v>
      </c>
      <c r="M10" s="29" t="str">
        <f t="shared" si="8"/>
        <v>-</v>
      </c>
      <c r="N10" s="29" t="str">
        <f t="shared" si="8"/>
        <v>-</v>
      </c>
      <c r="O10" s="30">
        <f t="shared" si="3"/>
        <v>0</v>
      </c>
    </row>
    <row r="11" ht="18.0" customHeight="1">
      <c r="A11" s="31" t="s">
        <v>73</v>
      </c>
      <c r="B11" s="51"/>
      <c r="C11" s="51"/>
      <c r="D11" s="51"/>
      <c r="E11" s="51"/>
      <c r="F11" s="51"/>
      <c r="G11" s="51"/>
      <c r="H11" s="52"/>
      <c r="I11" s="53"/>
      <c r="J11" s="35" t="str">
        <f t="shared" ref="J11:N11" si="9">IFERROR(C11/B11,"-")</f>
        <v>-</v>
      </c>
      <c r="K11" s="35" t="str">
        <f t="shared" si="9"/>
        <v>-</v>
      </c>
      <c r="L11" s="35" t="str">
        <f t="shared" si="9"/>
        <v>-</v>
      </c>
      <c r="M11" s="35" t="str">
        <f t="shared" si="9"/>
        <v>-</v>
      </c>
      <c r="N11" s="35" t="str">
        <f t="shared" si="9"/>
        <v>-</v>
      </c>
      <c r="O11" s="36">
        <f t="shared" si="3"/>
        <v>0</v>
      </c>
    </row>
    <row r="12" ht="18.0" customHeight="1">
      <c r="A12" s="25" t="s">
        <v>74</v>
      </c>
      <c r="B12" s="51"/>
      <c r="C12" s="51"/>
      <c r="D12" s="51"/>
      <c r="E12" s="51"/>
      <c r="F12" s="51"/>
      <c r="G12" s="51"/>
      <c r="H12" s="52"/>
      <c r="I12" s="53"/>
      <c r="J12" s="29" t="str">
        <f t="shared" ref="J12:N12" si="10">IFERROR(C12/B12,"-")</f>
        <v>-</v>
      </c>
      <c r="K12" s="29" t="str">
        <f t="shared" si="10"/>
        <v>-</v>
      </c>
      <c r="L12" s="29" t="str">
        <f t="shared" si="10"/>
        <v>-</v>
      </c>
      <c r="M12" s="29" t="str">
        <f t="shared" si="10"/>
        <v>-</v>
      </c>
      <c r="N12" s="29" t="str">
        <f t="shared" si="10"/>
        <v>-</v>
      </c>
      <c r="O12" s="30">
        <f t="shared" si="3"/>
        <v>0</v>
      </c>
    </row>
    <row r="13" ht="18.0" customHeight="1">
      <c r="A13" s="31" t="s">
        <v>75</v>
      </c>
      <c r="B13" s="51"/>
      <c r="C13" s="51"/>
      <c r="D13" s="51"/>
      <c r="E13" s="51"/>
      <c r="F13" s="51"/>
      <c r="G13" s="51"/>
      <c r="H13" s="52"/>
      <c r="I13" s="53"/>
      <c r="J13" s="35" t="str">
        <f t="shared" ref="J13:N13" si="11">IFERROR(C13/B13,"-")</f>
        <v>-</v>
      </c>
      <c r="K13" s="35" t="str">
        <f t="shared" si="11"/>
        <v>-</v>
      </c>
      <c r="L13" s="35" t="str">
        <f t="shared" si="11"/>
        <v>-</v>
      </c>
      <c r="M13" s="35" t="str">
        <f t="shared" si="11"/>
        <v>-</v>
      </c>
      <c r="N13" s="35" t="str">
        <f t="shared" si="11"/>
        <v>-</v>
      </c>
      <c r="O13" s="36">
        <f t="shared" si="3"/>
        <v>0</v>
      </c>
    </row>
    <row r="14" ht="18.0" customHeight="1">
      <c r="A14" s="25" t="s">
        <v>76</v>
      </c>
      <c r="B14" s="51"/>
      <c r="C14" s="51"/>
      <c r="D14" s="51"/>
      <c r="E14" s="51"/>
      <c r="F14" s="51"/>
      <c r="G14" s="51"/>
      <c r="H14" s="52"/>
      <c r="I14" s="53"/>
      <c r="J14" s="29" t="str">
        <f t="shared" ref="J14:N14" si="12">IFERROR(C14/B14,"-")</f>
        <v>-</v>
      </c>
      <c r="K14" s="29" t="str">
        <f t="shared" si="12"/>
        <v>-</v>
      </c>
      <c r="L14" s="29" t="str">
        <f t="shared" si="12"/>
        <v>-</v>
      </c>
      <c r="M14" s="29" t="str">
        <f t="shared" si="12"/>
        <v>-</v>
      </c>
      <c r="N14" s="29" t="str">
        <f t="shared" si="12"/>
        <v>-</v>
      </c>
      <c r="O14" s="30">
        <f t="shared" si="3"/>
        <v>0</v>
      </c>
    </row>
    <row r="15" ht="18.0" customHeight="1">
      <c r="A15" s="31" t="s">
        <v>77</v>
      </c>
      <c r="B15" s="51"/>
      <c r="C15" s="51"/>
      <c r="D15" s="51"/>
      <c r="E15" s="51"/>
      <c r="F15" s="51"/>
      <c r="G15" s="51"/>
      <c r="H15" s="52"/>
      <c r="I15" s="53"/>
      <c r="J15" s="35" t="str">
        <f t="shared" ref="J15:N15" si="13">IFERROR(C15/B15,"-")</f>
        <v>-</v>
      </c>
      <c r="K15" s="35" t="str">
        <f t="shared" si="13"/>
        <v>-</v>
      </c>
      <c r="L15" s="35" t="str">
        <f t="shared" si="13"/>
        <v>-</v>
      </c>
      <c r="M15" s="35" t="str">
        <f t="shared" si="13"/>
        <v>-</v>
      </c>
      <c r="N15" s="35" t="str">
        <f t="shared" si="13"/>
        <v>-</v>
      </c>
      <c r="O15" s="36">
        <f t="shared" si="3"/>
        <v>0</v>
      </c>
    </row>
    <row r="16" ht="4.5" customHeight="1"/>
    <row r="17" ht="21.75" customHeight="1">
      <c r="A17" s="37" t="s">
        <v>78</v>
      </c>
      <c r="B17" s="38">
        <f t="shared" ref="B17:G17" si="14">SUM(B4:B15)</f>
        <v>0</v>
      </c>
      <c r="C17" s="38">
        <f t="shared" si="14"/>
        <v>0</v>
      </c>
      <c r="D17" s="38">
        <f t="shared" si="14"/>
        <v>0</v>
      </c>
      <c r="E17" s="38">
        <f t="shared" si="14"/>
        <v>0</v>
      </c>
      <c r="F17" s="38">
        <f t="shared" si="14"/>
        <v>0</v>
      </c>
      <c r="G17" s="38">
        <f t="shared" si="14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41" t="str">
        <f t="shared" ref="J17:N17" si="15">IFERROR(C17/B17,"-")</f>
        <v>-</v>
      </c>
      <c r="K17" s="41" t="str">
        <f t="shared" si="15"/>
        <v>-</v>
      </c>
      <c r="L17" s="41" t="str">
        <f t="shared" si="15"/>
        <v>-</v>
      </c>
      <c r="M17" s="41" t="str">
        <f t="shared" si="15"/>
        <v>-</v>
      </c>
      <c r="N17" s="41" t="str">
        <f t="shared" si="15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8" width="10.0"/>
    <col customWidth="1" min="9" max="9" width="11.0"/>
    <col customWidth="1" min="10" max="14" width="10.0"/>
    <col customWidth="1" min="15" max="15" width="11.0"/>
    <col customWidth="1" min="16" max="26" width="8.71"/>
  </cols>
  <sheetData>
    <row r="1" ht="25.5" customHeight="1">
      <c r="A1" s="50" t="s">
        <v>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ht="15.75" customHeight="1">
      <c r="A2" s="19" t="s">
        <v>80</v>
      </c>
      <c r="B2" s="18"/>
      <c r="C2" s="18"/>
      <c r="D2" s="18"/>
      <c r="E2" s="18"/>
      <c r="F2" s="18"/>
      <c r="G2" s="18"/>
      <c r="H2" s="18"/>
      <c r="I2" s="4"/>
      <c r="J2" s="20" t="s">
        <v>81</v>
      </c>
      <c r="K2" s="18"/>
      <c r="L2" s="18"/>
      <c r="M2" s="18"/>
      <c r="N2" s="18"/>
      <c r="O2" s="4"/>
    </row>
    <row r="3" ht="33.75" customHeight="1">
      <c r="A3" s="22" t="s">
        <v>82</v>
      </c>
      <c r="B3" s="22" t="s">
        <v>107</v>
      </c>
      <c r="C3" s="22" t="s">
        <v>103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85</v>
      </c>
      <c r="I3" s="22" t="s">
        <v>86</v>
      </c>
      <c r="J3" s="23" t="s">
        <v>103</v>
      </c>
      <c r="K3" s="23" t="s">
        <v>51</v>
      </c>
      <c r="L3" s="24" t="s">
        <v>52</v>
      </c>
      <c r="M3" s="23" t="s">
        <v>53</v>
      </c>
      <c r="N3" s="23" t="s">
        <v>54</v>
      </c>
      <c r="O3" s="23" t="s">
        <v>88</v>
      </c>
    </row>
    <row r="4" ht="18.0" customHeight="1">
      <c r="A4" s="25" t="s">
        <v>66</v>
      </c>
      <c r="B4" s="51"/>
      <c r="C4" s="58" t="s">
        <v>103</v>
      </c>
      <c r="D4" s="51"/>
      <c r="E4" s="51"/>
      <c r="F4" s="51"/>
      <c r="G4" s="51"/>
      <c r="H4" s="52"/>
      <c r="I4" s="53"/>
      <c r="J4" s="59" t="s">
        <v>103</v>
      </c>
      <c r="K4" s="29" t="str">
        <f t="shared" ref="K4:K15" si="2">IFERROR(D4/B4,"-")</f>
        <v>-</v>
      </c>
      <c r="L4" s="29" t="str">
        <f t="shared" ref="L4:N4" si="1">IFERROR(E4/D4,"-")</f>
        <v>-</v>
      </c>
      <c r="M4" s="29" t="str">
        <f t="shared" si="1"/>
        <v>-</v>
      </c>
      <c r="N4" s="29" t="str">
        <f t="shared" si="1"/>
        <v>-</v>
      </c>
      <c r="O4" s="30">
        <f t="shared" ref="O4:O15" si="4">IFERROR(G4*H4,"-")</f>
        <v>0</v>
      </c>
    </row>
    <row r="5" ht="18.0" customHeight="1">
      <c r="A5" s="31" t="s">
        <v>67</v>
      </c>
      <c r="B5" s="51"/>
      <c r="C5" s="58" t="s">
        <v>103</v>
      </c>
      <c r="D5" s="51"/>
      <c r="E5" s="51"/>
      <c r="F5" s="51"/>
      <c r="G5" s="51"/>
      <c r="H5" s="52"/>
      <c r="I5" s="53"/>
      <c r="J5" s="60" t="s">
        <v>103</v>
      </c>
      <c r="K5" s="35" t="str">
        <f t="shared" si="2"/>
        <v>-</v>
      </c>
      <c r="L5" s="35" t="str">
        <f t="shared" ref="L5:N5" si="3">IFERROR(E5/D5,"-")</f>
        <v>-</v>
      </c>
      <c r="M5" s="35" t="str">
        <f t="shared" si="3"/>
        <v>-</v>
      </c>
      <c r="N5" s="35" t="str">
        <f t="shared" si="3"/>
        <v>-</v>
      </c>
      <c r="O5" s="36">
        <f t="shared" si="4"/>
        <v>0</v>
      </c>
    </row>
    <row r="6" ht="18.0" customHeight="1">
      <c r="A6" s="25" t="s">
        <v>68</v>
      </c>
      <c r="B6" s="51"/>
      <c r="C6" s="58" t="s">
        <v>103</v>
      </c>
      <c r="D6" s="51"/>
      <c r="E6" s="51"/>
      <c r="F6" s="51"/>
      <c r="G6" s="51"/>
      <c r="H6" s="52"/>
      <c r="I6" s="53"/>
      <c r="J6" s="59" t="s">
        <v>103</v>
      </c>
      <c r="K6" s="29" t="str">
        <f t="shared" si="2"/>
        <v>-</v>
      </c>
      <c r="L6" s="29" t="str">
        <f t="shared" ref="L6:N6" si="5">IFERROR(E6/D6,"-")</f>
        <v>-</v>
      </c>
      <c r="M6" s="29" t="str">
        <f t="shared" si="5"/>
        <v>-</v>
      </c>
      <c r="N6" s="29" t="str">
        <f t="shared" si="5"/>
        <v>-</v>
      </c>
      <c r="O6" s="30">
        <f t="shared" si="4"/>
        <v>0</v>
      </c>
    </row>
    <row r="7" ht="18.0" customHeight="1">
      <c r="A7" s="31" t="s">
        <v>69</v>
      </c>
      <c r="B7" s="51"/>
      <c r="C7" s="58" t="s">
        <v>103</v>
      </c>
      <c r="D7" s="51"/>
      <c r="E7" s="51"/>
      <c r="F7" s="51"/>
      <c r="G7" s="51"/>
      <c r="H7" s="52"/>
      <c r="I7" s="53"/>
      <c r="J7" s="60" t="s">
        <v>103</v>
      </c>
      <c r="K7" s="35" t="str">
        <f t="shared" si="2"/>
        <v>-</v>
      </c>
      <c r="L7" s="35" t="str">
        <f t="shared" ref="L7:N7" si="6">IFERROR(E7/D7,"-")</f>
        <v>-</v>
      </c>
      <c r="M7" s="35" t="str">
        <f t="shared" si="6"/>
        <v>-</v>
      </c>
      <c r="N7" s="35" t="str">
        <f t="shared" si="6"/>
        <v>-</v>
      </c>
      <c r="O7" s="36">
        <f t="shared" si="4"/>
        <v>0</v>
      </c>
    </row>
    <row r="8" ht="18.0" customHeight="1">
      <c r="A8" s="25" t="s">
        <v>70</v>
      </c>
      <c r="B8" s="51"/>
      <c r="C8" s="58" t="s">
        <v>103</v>
      </c>
      <c r="D8" s="51"/>
      <c r="E8" s="51"/>
      <c r="F8" s="51"/>
      <c r="G8" s="51"/>
      <c r="H8" s="52"/>
      <c r="I8" s="53"/>
      <c r="J8" s="59" t="s">
        <v>103</v>
      </c>
      <c r="K8" s="29" t="str">
        <f t="shared" si="2"/>
        <v>-</v>
      </c>
      <c r="L8" s="29" t="str">
        <f t="shared" ref="L8:N8" si="7">IFERROR(E8/D8,"-")</f>
        <v>-</v>
      </c>
      <c r="M8" s="29" t="str">
        <f t="shared" si="7"/>
        <v>-</v>
      </c>
      <c r="N8" s="29" t="str">
        <f t="shared" si="7"/>
        <v>-</v>
      </c>
      <c r="O8" s="30">
        <f t="shared" si="4"/>
        <v>0</v>
      </c>
    </row>
    <row r="9" ht="18.0" customHeight="1">
      <c r="A9" s="31" t="s">
        <v>71</v>
      </c>
      <c r="B9" s="51"/>
      <c r="C9" s="58" t="s">
        <v>103</v>
      </c>
      <c r="D9" s="51"/>
      <c r="E9" s="51"/>
      <c r="F9" s="51"/>
      <c r="G9" s="51"/>
      <c r="H9" s="52"/>
      <c r="I9" s="53"/>
      <c r="J9" s="60" t="s">
        <v>103</v>
      </c>
      <c r="K9" s="35" t="str">
        <f t="shared" si="2"/>
        <v>-</v>
      </c>
      <c r="L9" s="35" t="str">
        <f t="shared" ref="L9:N9" si="8">IFERROR(E9/D9,"-")</f>
        <v>-</v>
      </c>
      <c r="M9" s="35" t="str">
        <f t="shared" si="8"/>
        <v>-</v>
      </c>
      <c r="N9" s="35" t="str">
        <f t="shared" si="8"/>
        <v>-</v>
      </c>
      <c r="O9" s="36">
        <f t="shared" si="4"/>
        <v>0</v>
      </c>
    </row>
    <row r="10" ht="18.0" customHeight="1">
      <c r="A10" s="25" t="s">
        <v>72</v>
      </c>
      <c r="B10" s="51"/>
      <c r="C10" s="58" t="s">
        <v>103</v>
      </c>
      <c r="D10" s="51"/>
      <c r="E10" s="51"/>
      <c r="F10" s="51"/>
      <c r="G10" s="51"/>
      <c r="H10" s="52"/>
      <c r="I10" s="53"/>
      <c r="J10" s="59" t="s">
        <v>103</v>
      </c>
      <c r="K10" s="29" t="str">
        <f t="shared" si="2"/>
        <v>-</v>
      </c>
      <c r="L10" s="29" t="str">
        <f t="shared" ref="L10:N10" si="9">IFERROR(E10/D10,"-")</f>
        <v>-</v>
      </c>
      <c r="M10" s="29" t="str">
        <f t="shared" si="9"/>
        <v>-</v>
      </c>
      <c r="N10" s="29" t="str">
        <f t="shared" si="9"/>
        <v>-</v>
      </c>
      <c r="O10" s="30">
        <f t="shared" si="4"/>
        <v>0</v>
      </c>
    </row>
    <row r="11" ht="18.0" customHeight="1">
      <c r="A11" s="31" t="s">
        <v>73</v>
      </c>
      <c r="B11" s="51"/>
      <c r="C11" s="58" t="s">
        <v>103</v>
      </c>
      <c r="D11" s="51"/>
      <c r="E11" s="51"/>
      <c r="F11" s="51"/>
      <c r="G11" s="51"/>
      <c r="H11" s="52"/>
      <c r="I11" s="53"/>
      <c r="J11" s="60" t="s">
        <v>103</v>
      </c>
      <c r="K11" s="35" t="str">
        <f t="shared" si="2"/>
        <v>-</v>
      </c>
      <c r="L11" s="35" t="str">
        <f t="shared" ref="L11:N11" si="10">IFERROR(E11/D11,"-")</f>
        <v>-</v>
      </c>
      <c r="M11" s="35" t="str">
        <f t="shared" si="10"/>
        <v>-</v>
      </c>
      <c r="N11" s="35" t="str">
        <f t="shared" si="10"/>
        <v>-</v>
      </c>
      <c r="O11" s="36">
        <f t="shared" si="4"/>
        <v>0</v>
      </c>
    </row>
    <row r="12" ht="18.0" customHeight="1">
      <c r="A12" s="25" t="s">
        <v>74</v>
      </c>
      <c r="B12" s="51"/>
      <c r="C12" s="58" t="s">
        <v>103</v>
      </c>
      <c r="D12" s="51"/>
      <c r="E12" s="51"/>
      <c r="F12" s="51"/>
      <c r="G12" s="51"/>
      <c r="H12" s="52"/>
      <c r="I12" s="53"/>
      <c r="J12" s="59" t="s">
        <v>103</v>
      </c>
      <c r="K12" s="29" t="str">
        <f t="shared" si="2"/>
        <v>-</v>
      </c>
      <c r="L12" s="29" t="str">
        <f t="shared" ref="L12:N12" si="11">IFERROR(E12/D12,"-")</f>
        <v>-</v>
      </c>
      <c r="M12" s="29" t="str">
        <f t="shared" si="11"/>
        <v>-</v>
      </c>
      <c r="N12" s="29" t="str">
        <f t="shared" si="11"/>
        <v>-</v>
      </c>
      <c r="O12" s="30">
        <f t="shared" si="4"/>
        <v>0</v>
      </c>
    </row>
    <row r="13" ht="18.0" customHeight="1">
      <c r="A13" s="31" t="s">
        <v>75</v>
      </c>
      <c r="B13" s="51"/>
      <c r="C13" s="58" t="s">
        <v>103</v>
      </c>
      <c r="D13" s="51"/>
      <c r="E13" s="51"/>
      <c r="F13" s="51"/>
      <c r="G13" s="51"/>
      <c r="H13" s="52"/>
      <c r="I13" s="53"/>
      <c r="J13" s="60" t="s">
        <v>103</v>
      </c>
      <c r="K13" s="35" t="str">
        <f t="shared" si="2"/>
        <v>-</v>
      </c>
      <c r="L13" s="35" t="str">
        <f t="shared" ref="L13:N13" si="12">IFERROR(E13/D13,"-")</f>
        <v>-</v>
      </c>
      <c r="M13" s="35" t="str">
        <f t="shared" si="12"/>
        <v>-</v>
      </c>
      <c r="N13" s="35" t="str">
        <f t="shared" si="12"/>
        <v>-</v>
      </c>
      <c r="O13" s="36">
        <f t="shared" si="4"/>
        <v>0</v>
      </c>
    </row>
    <row r="14" ht="18.0" customHeight="1">
      <c r="A14" s="25" t="s">
        <v>76</v>
      </c>
      <c r="B14" s="51"/>
      <c r="C14" s="58" t="s">
        <v>103</v>
      </c>
      <c r="D14" s="51"/>
      <c r="E14" s="51"/>
      <c r="F14" s="51"/>
      <c r="G14" s="51"/>
      <c r="H14" s="52"/>
      <c r="I14" s="53"/>
      <c r="J14" s="59" t="s">
        <v>103</v>
      </c>
      <c r="K14" s="29" t="str">
        <f t="shared" si="2"/>
        <v>-</v>
      </c>
      <c r="L14" s="29" t="str">
        <f t="shared" ref="L14:N14" si="13">IFERROR(E14/D14,"-")</f>
        <v>-</v>
      </c>
      <c r="M14" s="29" t="str">
        <f t="shared" si="13"/>
        <v>-</v>
      </c>
      <c r="N14" s="29" t="str">
        <f t="shared" si="13"/>
        <v>-</v>
      </c>
      <c r="O14" s="30">
        <f t="shared" si="4"/>
        <v>0</v>
      </c>
    </row>
    <row r="15" ht="18.0" customHeight="1">
      <c r="A15" s="31" t="s">
        <v>77</v>
      </c>
      <c r="B15" s="51"/>
      <c r="C15" s="58" t="s">
        <v>103</v>
      </c>
      <c r="D15" s="51"/>
      <c r="E15" s="51"/>
      <c r="F15" s="51"/>
      <c r="G15" s="51"/>
      <c r="H15" s="52"/>
      <c r="I15" s="53"/>
      <c r="J15" s="60" t="s">
        <v>103</v>
      </c>
      <c r="K15" s="35" t="str">
        <f t="shared" si="2"/>
        <v>-</v>
      </c>
      <c r="L15" s="35" t="str">
        <f t="shared" ref="L15:N15" si="14">IFERROR(E15/D15,"-")</f>
        <v>-</v>
      </c>
      <c r="M15" s="35" t="str">
        <f t="shared" si="14"/>
        <v>-</v>
      </c>
      <c r="N15" s="35" t="str">
        <f t="shared" si="14"/>
        <v>-</v>
      </c>
      <c r="O15" s="36">
        <f t="shared" si="4"/>
        <v>0</v>
      </c>
    </row>
    <row r="16" ht="4.5" customHeight="1"/>
    <row r="17" ht="21.75" customHeight="1">
      <c r="A17" s="37" t="s">
        <v>78</v>
      </c>
      <c r="B17" s="38">
        <f>SUM(B4:B15)</f>
        <v>0</v>
      </c>
      <c r="C17" s="61" t="s">
        <v>103</v>
      </c>
      <c r="D17" s="38">
        <f t="shared" ref="D17:G17" si="15">SUM(D4:D15)</f>
        <v>0</v>
      </c>
      <c r="E17" s="38">
        <f t="shared" si="15"/>
        <v>0</v>
      </c>
      <c r="F17" s="38">
        <f t="shared" si="15"/>
        <v>0</v>
      </c>
      <c r="G17" s="38">
        <f t="shared" si="15"/>
        <v>0</v>
      </c>
      <c r="H17" s="39" t="str">
        <f>IFERROR(AVERAGEIF(G4:G15,"&gt;"&amp;0,H4:H15),"-")</f>
        <v>-</v>
      </c>
      <c r="I17" s="40" t="str">
        <f>IFERROR(AVERAGE(I4:I15),"-")</f>
        <v>-</v>
      </c>
      <c r="J17" s="61" t="s">
        <v>103</v>
      </c>
      <c r="K17" s="41" t="str">
        <f>IFERROR(D17/B17,"-")</f>
        <v>-</v>
      </c>
      <c r="L17" s="41" t="str">
        <f t="shared" ref="L17:N17" si="16">IFERROR(E17/D17,"-")</f>
        <v>-</v>
      </c>
      <c r="M17" s="41" t="str">
        <f t="shared" si="16"/>
        <v>-</v>
      </c>
      <c r="N17" s="41" t="str">
        <f t="shared" si="16"/>
        <v>-</v>
      </c>
      <c r="O17" s="39" t="str">
        <f>IFERROR(G17*H17,"-")</f>
        <v>-</v>
      </c>
    </row>
    <row r="18" ht="4.5" customHeight="1"/>
    <row r="19" ht="15.75" customHeight="1">
      <c r="A19" s="19" t="s">
        <v>89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"/>
    </row>
    <row r="20" ht="18.0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ht="18.0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ht="18.0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I2"/>
    <mergeCell ref="J2:O2"/>
    <mergeCell ref="A19:O19"/>
    <mergeCell ref="A20:O20"/>
    <mergeCell ref="A21:O21"/>
    <mergeCell ref="A22:O22"/>
  </mergeCells>
  <printOptions/>
  <pageMargins bottom="1.0" footer="0.0" header="0.0" left="0.75" right="0.75" top="1.0"/>
  <pageSetup paperSize="9" orientation="portrait"/>
  <drawing r:id="rId1"/>
</worksheet>
</file>