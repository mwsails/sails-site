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mp Calculator" sheetId="2" state="visible" r:id="rId2"/>
    <sheet xmlns:r="http://schemas.openxmlformats.org/officeDocument/2006/relationships" name="Attainment Scenarios" sheetId="3" state="visible" r:id="rId3"/>
    <sheet xmlns:r="http://schemas.openxmlformats.org/officeDocument/2006/relationships" name="Benchmar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&quot;x&quot;"/>
    <numFmt numFmtId="166" formatCode="0.0%"/>
  </numFmts>
  <fonts count="17">
    <font>
      <name val="Calibri"/>
      <family val="2"/>
      <color theme="1"/>
      <sz val="11"/>
      <scheme val="minor"/>
    </font>
    <font>
      <b val="1"/>
      <color rgb="002B60BE"/>
      <sz val="11"/>
    </font>
    <font>
      <b val="1"/>
      <color rgb="000B1230"/>
      <sz val="22"/>
    </font>
    <font>
      <i val="1"/>
      <color rgb="003A4366"/>
      <sz val="11"/>
    </font>
    <font>
      <b val="1"/>
      <color rgb="002B60BE"/>
      <sz val="9"/>
    </font>
    <font>
      <color rgb="003A4366"/>
      <sz val="11"/>
    </font>
    <font>
      <i val="1"/>
      <color rgb="003A4366"/>
      <sz val="9"/>
    </font>
    <font>
      <b val="1"/>
      <color rgb="000B1230"/>
      <sz val="18"/>
    </font>
    <font>
      <i val="1"/>
      <color rgb="003A4366"/>
      <sz val="10"/>
    </font>
    <font>
      <b val="1"/>
      <color rgb="00FFFFFF"/>
      <sz val="10"/>
    </font>
    <font>
      <color rgb="000B1230"/>
      <sz val="10.5"/>
    </font>
    <font>
      <b val="1"/>
      <color rgb="000B1230"/>
      <sz val="11"/>
    </font>
    <font>
      <i val="1"/>
      <color rgb="003A4366"/>
      <sz val="9.5"/>
    </font>
    <font>
      <color rgb="003A4366"/>
      <sz val="10.5"/>
    </font>
    <font>
      <b val="1"/>
      <color rgb="002B60BE"/>
      <sz val="10.5"/>
    </font>
    <font>
      <color rgb="003A4366"/>
      <sz val="10"/>
    </font>
    <font>
      <b val="1"/>
      <color rgb="002B60BE"/>
      <sz val="10"/>
    </font>
  </fonts>
  <fills count="6">
    <fill>
      <patternFill/>
    </fill>
    <fill>
      <patternFill patternType="gray125"/>
    </fill>
    <fill>
      <patternFill patternType="solid">
        <fgColor rgb="000D1B4B"/>
      </patternFill>
    </fill>
    <fill>
      <patternFill patternType="solid">
        <fgColor rgb="00FFF7E6"/>
      </patternFill>
    </fill>
    <fill>
      <patternFill patternType="solid">
        <fgColor rgb="00FFFFFF"/>
      </patternFill>
    </fill>
    <fill>
      <patternFill patternType="solid">
        <fgColor rgb="00EEF3FB"/>
      </patternFill>
    </fill>
  </fills>
  <borders count="2">
    <border>
      <left/>
      <right/>
      <top/>
      <bottom/>
      <diagonal/>
    </border>
    <border>
      <left style="thin">
        <color rgb="00E5E7EE"/>
      </left>
      <right style="thin">
        <color rgb="00E5E7EE"/>
      </right>
      <top style="thin">
        <color rgb="00E5E7EE"/>
      </top>
      <bottom style="thin">
        <color rgb="00E5E7EE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2" borderId="1" pivotButton="0" quotePrefix="0" xfId="0"/>
    <xf numFmtId="0" fontId="0" fillId="2" borderId="1" pivotButton="0" quotePrefix="0" xfId="0"/>
    <xf numFmtId="0" fontId="10" fillId="0" borderId="1" pivotButton="0" quotePrefix="0" xfId="0"/>
    <xf numFmtId="164" fontId="11" fillId="3" borderId="1" applyAlignment="1" pivotButton="0" quotePrefix="0" xfId="0">
      <alignment horizontal="center"/>
    </xf>
    <xf numFmtId="0" fontId="12" fillId="0" borderId="1" pivotButton="0" quotePrefix="0" xfId="0"/>
    <xf numFmtId="9" fontId="11" fillId="3" borderId="1" applyAlignment="1" pivotButton="0" quotePrefix="0" xfId="0">
      <alignment horizontal="center"/>
    </xf>
    <xf numFmtId="165" fontId="11" fillId="3" borderId="1" applyAlignment="1" pivotButton="0" quotePrefix="0" xfId="0">
      <alignment horizontal="center"/>
    </xf>
    <xf numFmtId="0" fontId="10" fillId="4" borderId="1" pivotButton="0" quotePrefix="0" xfId="0"/>
    <xf numFmtId="164" fontId="1" fillId="4" borderId="1" applyAlignment="1" pivotButton="0" quotePrefix="0" xfId="0">
      <alignment horizontal="center"/>
    </xf>
    <xf numFmtId="0" fontId="12" fillId="4" borderId="1" pivotButton="0" quotePrefix="0" xfId="0"/>
    <xf numFmtId="0" fontId="10" fillId="5" borderId="1" pivotButton="0" quotePrefix="0" xfId="0"/>
    <xf numFmtId="164" fontId="1" fillId="5" borderId="1" applyAlignment="1" pivotButton="0" quotePrefix="0" xfId="0">
      <alignment horizontal="center"/>
    </xf>
    <xf numFmtId="0" fontId="12" fillId="5" borderId="1" pivotButton="0" quotePrefix="0" xfId="0"/>
    <xf numFmtId="9" fontId="1" fillId="5" borderId="1" applyAlignment="1" pivotButton="0" quotePrefix="0" xfId="0">
      <alignment horizontal="center"/>
    </xf>
    <xf numFmtId="166" fontId="1" fillId="4" borderId="1" applyAlignment="1" pivotButton="0" quotePrefix="0" xfId="0">
      <alignment horizontal="center"/>
    </xf>
    <xf numFmtId="166" fontId="1" fillId="5" borderId="1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9" fillId="2" borderId="1" applyAlignment="1" pivotButton="0" quotePrefix="0" xfId="0">
      <alignment horizontal="left" vertical="center" wrapText="1"/>
    </xf>
    <xf numFmtId="0" fontId="11" fillId="5" borderId="1" pivotButton="0" quotePrefix="0" xfId="0"/>
    <xf numFmtId="164" fontId="13" fillId="5" borderId="1" pivotButton="0" quotePrefix="0" xfId="0"/>
    <xf numFmtId="164" fontId="11" fillId="5" borderId="1" pivotButton="0" quotePrefix="0" xfId="0"/>
    <xf numFmtId="0" fontId="11" fillId="4" borderId="1" pivotButton="0" quotePrefix="0" xfId="0"/>
    <xf numFmtId="164" fontId="13" fillId="4" borderId="1" pivotButton="0" quotePrefix="0" xfId="0"/>
    <xf numFmtId="164" fontId="11" fillId="4" borderId="1" pivotButton="0" quotePrefix="0" xfId="0"/>
    <xf numFmtId="0" fontId="1" fillId="5" borderId="1" pivotButton="0" quotePrefix="0" xfId="0"/>
    <xf numFmtId="0" fontId="1" fillId="4" borderId="1" pivotButton="0" quotePrefix="0" xfId="0"/>
    <xf numFmtId="0" fontId="14" fillId="5" borderId="1" applyAlignment="1" pivotButton="0" quotePrefix="0" xfId="0">
      <alignment vertical="top" wrapText="1"/>
    </xf>
    <xf numFmtId="0" fontId="15" fillId="5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0" fontId="15" fillId="4" borderId="1" applyAlignment="1" pivotButton="0" quotePrefix="0" xfId="0">
      <alignment vertical="top" wrapText="1"/>
    </xf>
    <xf numFmtId="0" fontId="11" fillId="0" borderId="0" pivotButton="0" quotePrefix="0" xfId="0"/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2">
      <c r="B2" s="1" t="inlineStr">
        <is>
          <t>SAILS Advisory</t>
        </is>
      </c>
    </row>
    <row r="3">
      <c r="B3" s="2" t="inlineStr">
        <is>
          <t>The Sales Comp Plan Builder</t>
        </is>
      </c>
    </row>
    <row r="4">
      <c r="B4" s="3" t="inlineStr">
        <is>
          <t>A working calculator for designing B2B SaaS sales compensation plans. Built for velocity motions.</t>
        </is>
      </c>
    </row>
    <row r="6">
      <c r="B6" s="4" t="inlineStr">
        <is>
          <t>HOW TO USE THIS</t>
        </is>
      </c>
    </row>
    <row r="8" ht="28" customHeight="1">
      <c r="B8" s="5" t="inlineStr">
        <is>
          <t>1.  Open the Comp Calculator tab. Edit ONLY the amber cells (base salary, base-to-variable ratio, quota multiple, accelerator multipliers).</t>
        </is>
      </c>
    </row>
    <row r="9" ht="28" customHeight="1">
      <c r="B9" s="5" t="inlineStr">
        <is>
          <t>2.  Everything else computes automatically: variable comp, OTE, annual quota, commission rate, and accelerator rates.</t>
        </is>
      </c>
    </row>
    <row r="10" ht="28" customHeight="1">
      <c r="B10" s="5" t="inlineStr">
        <is>
          <t>3.  The Attainment Scenarios tab shows what the rep takes home at 60% / 80% / 100% / 120% / 150% of quota, including accelerator math.</t>
        </is>
      </c>
    </row>
    <row r="11" ht="28" customHeight="1">
      <c r="B11" s="5" t="inlineStr">
        <is>
          <t>4.  The Benchmarks tab gives healthy ranges by role (SMB AE, Mid-Market AE, Enterprise AE, BDR/SDR) so you can sanity-check your plan.</t>
        </is>
      </c>
    </row>
    <row r="12" ht="28" customHeight="1">
      <c r="B12" s="5" t="inlineStr">
        <is>
          <t>5.  Sanity rules built in: base should be 40-60% of OTE, and quota should be 4-6x base. The calculator flags both ratios for you.</t>
        </is>
      </c>
    </row>
    <row r="14">
      <c r="B14" s="4" t="inlineStr">
        <is>
          <t>THE 6 COMMON MISTAKES THIS HELPS YOU AVOID</t>
        </is>
      </c>
    </row>
    <row r="15" ht="44" customHeight="1">
      <c r="B15" s="5" t="inlineStr">
        <is>
          <t>Base too high (attracts coasters) · No accelerators (reps coast after 100%) · Quota set too high (reps stop trying) · Paying on revenue you can't see · Changing the plan mid-year · Different plans for the same role.</t>
        </is>
      </c>
    </row>
    <row r="17">
      <c r="B17" s="4" t="inlineStr">
        <is>
          <t>WANT A COMP PLAN DESIGNED FOR YOUR SPECIFIC MOTION?</t>
        </is>
      </c>
    </row>
    <row r="18" ht="30" customHeight="1">
      <c r="B18" s="6" t="inlineStr">
        <is>
          <t>The Build phase of the SAILS engagement produces documented comp structures for every role you'll hire in the next 12-18 months. Book a 30-minute discovery call:</t>
        </is>
      </c>
    </row>
    <row r="19">
      <c r="B19" s="1" t="inlineStr">
        <is>
          <t>calendar.app.google/x2MYasUSFXEeow459</t>
        </is>
      </c>
    </row>
    <row r="21">
      <c r="B21" s="7" t="inlineStr">
        <is>
          <t>© 2025 SAILS Advisory · sailsadvisory.com · matt@sailsadvisory.com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8" customWidth="1" min="3" max="3"/>
    <col width="55" customWidth="1" min="4" max="4"/>
  </cols>
  <sheetData>
    <row r="2">
      <c r="B2" s="8" t="inlineStr">
        <is>
          <t>Comp Calculator</t>
        </is>
      </c>
    </row>
    <row r="3">
      <c r="B3" s="9" t="inlineStr">
        <is>
          <t>Edit the amber cells. Everything else computes automatically.</t>
        </is>
      </c>
    </row>
    <row r="5">
      <c r="B5" s="10" t="inlineStr">
        <is>
          <t>INPUTS (edit these)</t>
        </is>
      </c>
      <c r="C5" s="11" t="n"/>
      <c r="D5" s="10" t="inlineStr">
        <is>
          <t>Guidance</t>
        </is>
      </c>
    </row>
    <row r="6" ht="26" customHeight="1">
      <c r="B6" s="12" t="inlineStr">
        <is>
          <t>Base salary ($)</t>
        </is>
      </c>
      <c r="C6" s="13" t="n">
        <v>80000</v>
      </c>
      <c r="D6" s="14" t="inlineStr">
        <is>
          <t>SMB AE: $60-80K · Mid-market: $80-110K · Enterprise: $110-150K</t>
        </is>
      </c>
    </row>
    <row r="7" ht="26" customHeight="1">
      <c r="B7" s="12" t="inlineStr">
        <is>
          <t>Base-to-variable ratio (variable as % of base)</t>
        </is>
      </c>
      <c r="C7" s="15" t="n">
        <v>1</v>
      </c>
      <c r="D7" s="14" t="inlineStr">
        <is>
          <t>1.0 = 1:1 (velocity standard). 0.7-0.8 for slower motions.</t>
        </is>
      </c>
    </row>
    <row r="8" ht="26" customHeight="1">
      <c r="B8" s="12" t="inlineStr">
        <is>
          <t>Quota multiple (quota = base × this)</t>
        </is>
      </c>
      <c r="C8" s="16" t="n">
        <v>6</v>
      </c>
      <c r="D8" s="14" t="inlineStr">
        <is>
          <t>Healthy range: 4x to 6x base. Below 4x the role doesn't pay for itself.</t>
        </is>
      </c>
    </row>
    <row r="9" ht="26" customHeight="1">
      <c r="B9" s="12" t="inlineStr">
        <is>
          <t>Accelerator: 100-125% band multiplier</t>
        </is>
      </c>
      <c r="C9" s="16" t="n">
        <v>1.5</v>
      </c>
      <c r="D9" s="14" t="inlineStr">
        <is>
          <t>Typical: 1.5x the base commission rate.</t>
        </is>
      </c>
    </row>
    <row r="10" ht="26" customHeight="1">
      <c r="B10" s="12" t="inlineStr">
        <is>
          <t>Accelerator: 125%+ band multiplier</t>
        </is>
      </c>
      <c r="C10" s="16" t="n">
        <v>2</v>
      </c>
      <c r="D10" s="14" t="inlineStr">
        <is>
          <t>Typical: 2x. Raise to 2.5x if you want aggressive overachievement incentive.</t>
        </is>
      </c>
    </row>
    <row r="12">
      <c r="B12" s="10" t="inlineStr">
        <is>
          <t>OUTPUTS (computed)</t>
        </is>
      </c>
      <c r="C12" s="11" t="n"/>
      <c r="D12" s="10" t="inlineStr">
        <is>
          <t>Formula</t>
        </is>
      </c>
    </row>
    <row r="13" ht="24" customHeight="1">
      <c r="B13" s="17" t="inlineStr">
        <is>
          <t>Variable comp at 100% ($)</t>
        </is>
      </c>
      <c r="C13" s="18">
        <f>C6*C7</f>
        <v/>
      </c>
      <c r="D13" s="19" t="inlineStr">
        <is>
          <t>Base × ratio</t>
        </is>
      </c>
    </row>
    <row r="14" ht="24" customHeight="1">
      <c r="B14" s="20" t="inlineStr">
        <is>
          <t>OTE ($)</t>
        </is>
      </c>
      <c r="C14" s="21">
        <f>C6+C6*C7</f>
        <v/>
      </c>
      <c r="D14" s="22" t="inlineStr">
        <is>
          <t>Base + variable</t>
        </is>
      </c>
    </row>
    <row r="15" ht="24" customHeight="1">
      <c r="B15" s="17" t="inlineStr">
        <is>
          <t>Annual quota ($ ARR)</t>
        </is>
      </c>
      <c r="C15" s="18">
        <f>C6*C8</f>
        <v/>
      </c>
      <c r="D15" s="19" t="inlineStr">
        <is>
          <t>Base × quota multiple</t>
        </is>
      </c>
    </row>
    <row r="16" ht="24" customHeight="1">
      <c r="B16" s="20" t="inlineStr">
        <is>
          <t>Base as % of OTE</t>
        </is>
      </c>
      <c r="C16" s="23">
        <f>C6/(C6+C6*C7)</f>
        <v/>
      </c>
      <c r="D16" s="22" t="inlineStr">
        <is>
          <t>Healthy: 40-60%</t>
        </is>
      </c>
    </row>
    <row r="17" ht="24" customHeight="1">
      <c r="B17" s="17" t="inlineStr">
        <is>
          <t>Commission rate (up to 100%)</t>
        </is>
      </c>
      <c r="C17" s="24">
        <f>(C6*C7)/(C6*C8)</f>
        <v/>
      </c>
      <c r="D17" s="19" t="inlineStr">
        <is>
          <t>Variable ÷ quota</t>
        </is>
      </c>
    </row>
    <row r="18" ht="24" customHeight="1">
      <c r="B18" s="20" t="inlineStr">
        <is>
          <t>Commission rate (100-125% band)</t>
        </is>
      </c>
      <c r="C18" s="25">
        <f>((C6*C7)/(C6*C8))*C9</f>
        <v/>
      </c>
      <c r="D18" s="22" t="inlineStr">
        <is>
          <t>Base rate × accelerator 1</t>
        </is>
      </c>
    </row>
    <row r="19" ht="24" customHeight="1">
      <c r="B19" s="17" t="inlineStr">
        <is>
          <t>Commission rate (125%+ band)</t>
        </is>
      </c>
      <c r="C19" s="24">
        <f>((C6*C7)/(C6*C8))*C10</f>
        <v/>
      </c>
      <c r="D19" s="19" t="inlineStr">
        <is>
          <t>Base rate × accelerator 2</t>
        </is>
      </c>
    </row>
    <row r="21" ht="36" customHeight="1">
      <c r="B21" s="26" t="inlineStr">
        <is>
          <t>Sanity checks: Base % of OTE should land between 40% and 60%. Quota multiple should be 4x-6x. If either is out of range, adjust inputs before sending an offer.</t>
        </is>
      </c>
    </row>
  </sheetData>
  <mergeCells count="1">
    <mergeCell ref="B21:D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0" customWidth="1" min="3" max="3"/>
    <col width="20" customWidth="1" min="4" max="4"/>
    <col width="20" customWidth="1" min="5" max="5"/>
    <col width="22" customWidth="1" min="6" max="6"/>
  </cols>
  <sheetData>
    <row r="2">
      <c r="B2" s="8" t="inlineStr">
        <is>
          <t>What the Rep Takes Home</t>
        </is>
      </c>
    </row>
    <row r="3">
      <c r="B3" s="9" t="inlineStr">
        <is>
          <t>Earnings at each attainment level, using the inputs from the Comp Calculator tab. Accelerators applied per band.</t>
        </is>
      </c>
    </row>
    <row r="5" ht="30" customHeight="1">
      <c r="B5" s="27" t="inlineStr">
        <is>
          <t>Attainment</t>
        </is>
      </c>
      <c r="C5" s="27" t="inlineStr">
        <is>
          <t>ARR closed</t>
        </is>
      </c>
      <c r="D5" s="27" t="inlineStr">
        <is>
          <t>Commission earned</t>
        </is>
      </c>
      <c r="E5" s="27" t="inlineStr">
        <is>
          <t>Base salary</t>
        </is>
      </c>
      <c r="F5" s="27" t="inlineStr">
        <is>
          <t>Total take-home</t>
        </is>
      </c>
    </row>
    <row r="6" ht="26" customHeight="1">
      <c r="B6" s="28" t="inlineStr">
        <is>
          <t>60%</t>
        </is>
      </c>
      <c r="C6" s="29">
        <f>'Comp Calculator'!C6*'Comp Calculator'!C8*0.6</f>
        <v/>
      </c>
      <c r="D6" s="29">
        <f>'Comp Calculator'!C6*'Comp Calculator'!C8*0.6*(('Comp Calculator'!C6*'Comp Calculator'!C7)/('Comp Calculator'!C6*'Comp Calculator'!C8))</f>
        <v/>
      </c>
      <c r="E6" s="29">
        <f>'Comp Calculator'!C6</f>
        <v/>
      </c>
      <c r="F6" s="30">
        <f>D6+E6</f>
        <v/>
      </c>
    </row>
    <row r="7" ht="26" customHeight="1">
      <c r="B7" s="31" t="inlineStr">
        <is>
          <t>80%</t>
        </is>
      </c>
      <c r="C7" s="32">
        <f>'Comp Calculator'!C6*'Comp Calculator'!C8*0.8</f>
        <v/>
      </c>
      <c r="D7" s="32">
        <f>'Comp Calculator'!C6*'Comp Calculator'!C8*0.8*(('Comp Calculator'!C6*'Comp Calculator'!C7)/('Comp Calculator'!C6*'Comp Calculator'!C8))</f>
        <v/>
      </c>
      <c r="E7" s="32">
        <f>'Comp Calculator'!C6</f>
        <v/>
      </c>
      <c r="F7" s="33">
        <f>D7+E7</f>
        <v/>
      </c>
    </row>
    <row r="8" ht="26" customHeight="1">
      <c r="B8" s="34" t="inlineStr">
        <is>
          <t>100%</t>
        </is>
      </c>
      <c r="C8" s="29">
        <f>'Comp Calculator'!C6*'Comp Calculator'!C8*1.0</f>
        <v/>
      </c>
      <c r="D8" s="29">
        <f>'Comp Calculator'!C6*'Comp Calculator'!C8*(('Comp Calculator'!C6*'Comp Calculator'!C7)/('Comp Calculator'!C6*'Comp Calculator'!C8))</f>
        <v/>
      </c>
      <c r="E8" s="29">
        <f>'Comp Calculator'!C6</f>
        <v/>
      </c>
      <c r="F8" s="30">
        <f>D8+E8</f>
        <v/>
      </c>
    </row>
    <row r="9" ht="26" customHeight="1">
      <c r="B9" s="35" t="inlineStr">
        <is>
          <t>120%</t>
        </is>
      </c>
      <c r="C9" s="32">
        <f>'Comp Calculator'!C6*'Comp Calculator'!C8*1.2</f>
        <v/>
      </c>
      <c r="D9" s="32">
        <f>'Comp Calculator'!C6*'Comp Calculator'!C8*(('Comp Calculator'!C6*'Comp Calculator'!C7)/('Comp Calculator'!C6*'Comp Calculator'!C8))+'Comp Calculator'!C6*'Comp Calculator'!C8*0.2*(('Comp Calculator'!C6*'Comp Calculator'!C7)/('Comp Calculator'!C6*'Comp Calculator'!C8))*'Comp Calculator'!C9</f>
        <v/>
      </c>
      <c r="E9" s="32">
        <f>'Comp Calculator'!C6</f>
        <v/>
      </c>
      <c r="F9" s="33">
        <f>D9+E9</f>
        <v/>
      </c>
    </row>
    <row r="10" ht="26" customHeight="1">
      <c r="B10" s="34" t="inlineStr">
        <is>
          <t>150%</t>
        </is>
      </c>
      <c r="C10" s="29">
        <f>'Comp Calculator'!C6*'Comp Calculator'!C8*1.5</f>
        <v/>
      </c>
      <c r="D10" s="29">
        <f>'Comp Calculator'!C6*'Comp Calculator'!C8*(('Comp Calculator'!C6*'Comp Calculator'!C7)/('Comp Calculator'!C6*'Comp Calculator'!C8))+'Comp Calculator'!C6*'Comp Calculator'!C8*0.25*(('Comp Calculator'!C6*'Comp Calculator'!C7)/('Comp Calculator'!C6*'Comp Calculator'!C8))*'Comp Calculator'!C9+'Comp Calculator'!C6*'Comp Calculator'!C8*0.25*(('Comp Calculator'!C6*'Comp Calculator'!C7)/('Comp Calculator'!C6*'Comp Calculator'!C8))*'Comp Calculator'!C10</f>
        <v/>
      </c>
      <c r="E10" s="29">
        <f>'Comp Calculator'!C6</f>
        <v/>
      </c>
      <c r="F10" s="30">
        <f>D10+E10</f>
        <v/>
      </c>
    </row>
    <row r="12" ht="44" customHeight="1">
      <c r="B12" s="26" t="inlineStr">
        <is>
          <t>Note: accelerator bands are 100-125% (multiplier 1) and 125%+ (multiplier 2), both set on the Comp Calculator tab. The 150% row shows the full effect: base band + accelerator band 1 + accelerator band 2.</t>
        </is>
      </c>
    </row>
  </sheetData>
  <mergeCells count="1">
    <mergeCell ref="B12:F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8" customWidth="1" min="3" max="3"/>
    <col width="18" customWidth="1" min="4" max="4"/>
    <col width="20" customWidth="1" min="5" max="5"/>
    <col width="34" customWidth="1" min="6" max="6"/>
  </cols>
  <sheetData>
    <row r="2">
      <c r="B2" s="8" t="inlineStr">
        <is>
          <t>Role Benchmarks · Velocity B2B SaaS</t>
        </is>
      </c>
    </row>
    <row r="3">
      <c r="B3" s="9" t="inlineStr">
        <is>
          <t>Healthy ranges by role. Adjust ±15% for high cost-of-living markets, ±10% for rep experience.</t>
        </is>
      </c>
    </row>
    <row r="5" ht="30" customHeight="1">
      <c r="B5" s="27" t="inlineStr">
        <is>
          <t>Role</t>
        </is>
      </c>
      <c r="C5" s="27" t="inlineStr">
        <is>
          <t>Base</t>
        </is>
      </c>
      <c r="D5" s="27" t="inlineStr">
        <is>
          <t>OTE</t>
        </is>
      </c>
      <c r="E5" s="27" t="inlineStr">
        <is>
          <t>Quota / target</t>
        </is>
      </c>
      <c r="F5" s="27" t="inlineStr">
        <is>
          <t>Notes</t>
        </is>
      </c>
    </row>
    <row r="6" ht="36" customHeight="1">
      <c r="B6" s="36" t="inlineStr">
        <is>
          <t>BDR / SDR</t>
        </is>
      </c>
      <c r="C6" s="37" t="inlineStr">
        <is>
          <t>$50-70K</t>
        </is>
      </c>
      <c r="D6" s="37" t="inlineStr">
        <is>
          <t>$70-110K</t>
        </is>
      </c>
      <c r="E6" s="37" t="inlineStr">
        <is>
          <t>8-15 meetings/mo</t>
        </is>
      </c>
      <c r="F6" s="37" t="inlineStr">
        <is>
          <t>Quota in meetings booked, not ARR. Variable pays per qualified meeting held.</t>
        </is>
      </c>
    </row>
    <row r="7" ht="36" customHeight="1">
      <c r="B7" s="38" t="inlineStr">
        <is>
          <t>SMB AE (first hire)</t>
        </is>
      </c>
      <c r="C7" s="39" t="inlineStr">
        <is>
          <t>$60-80K</t>
        </is>
      </c>
      <c r="D7" s="39" t="inlineStr">
        <is>
          <t>$140-160K</t>
        </is>
      </c>
      <c r="E7" s="39" t="inlineStr">
        <is>
          <t>$400-480K ARR</t>
        </is>
      </c>
      <c r="F7" s="39" t="inlineStr">
        <is>
          <t>1:1 base-to-variable. No draw after ramp. Accelerators above 100%.</t>
        </is>
      </c>
    </row>
    <row r="8" ht="36" customHeight="1">
      <c r="B8" s="36" t="inlineStr">
        <is>
          <t>Mid-market AE</t>
        </is>
      </c>
      <c r="C8" s="37" t="inlineStr">
        <is>
          <t>$80-110K</t>
        </is>
      </c>
      <c r="D8" s="37" t="inlineStr">
        <is>
          <t>$180-220K</t>
        </is>
      </c>
      <c r="E8" s="37" t="inlineStr">
        <is>
          <t>$600-900K ARR</t>
        </is>
      </c>
      <c r="F8" s="37" t="inlineStr">
        <is>
          <t>Still 1:1 ratio. Larger deals justify higher quota multiple.</t>
        </is>
      </c>
    </row>
    <row r="9" ht="36" customHeight="1">
      <c r="B9" s="38" t="inlineStr">
        <is>
          <t>Enterprise AE</t>
        </is>
      </c>
      <c r="C9" s="39" t="inlineStr">
        <is>
          <t>$110-150K</t>
        </is>
      </c>
      <c r="D9" s="39" t="inlineStr">
        <is>
          <t>$260-320K</t>
        </is>
      </c>
      <c r="E9" s="39" t="inlineStr">
        <is>
          <t>$1M-1.5M ARR</t>
        </is>
      </c>
      <c r="F9" s="39" t="inlineStr">
        <is>
          <t>50/50 split typical. Longer cycles mean quarterly true-ups.</t>
        </is>
      </c>
    </row>
    <row r="10" ht="36" customHeight="1">
      <c r="B10" s="36" t="inlineStr">
        <is>
          <t>Player-coach / Sales Mgr</t>
        </is>
      </c>
      <c r="C10" s="37" t="inlineStr">
        <is>
          <t>$100-130K</t>
        </is>
      </c>
      <c r="D10" s="37" t="inlineStr">
        <is>
          <t>$180-240K</t>
        </is>
      </c>
      <c r="E10" s="37" t="inlineStr">
        <is>
          <t>Team quota</t>
        </is>
      </c>
      <c r="F10" s="37" t="inlineStr">
        <is>
          <t>Variable tied to team attainment, not personal deals.</t>
        </is>
      </c>
    </row>
    <row r="13">
      <c r="B13" s="40" t="inlineStr">
        <is>
          <t>Want a comp structure designed for your specific motion and stage?</t>
        </is>
      </c>
    </row>
    <row r="14">
      <c r="B14" s="41" t="inlineStr">
        <is>
          <t>Book a discovery call: calendar.app.google/x2MYasUSFXEeow459</t>
        </is>
      </c>
    </row>
  </sheetData>
  <mergeCells count="2">
    <mergeCell ref="B13:F13"/>
    <mergeCell ref="B14:F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2026-06-10T00:33:26Z</dcterms:created>
  <dcterms:modified xmlns:dcterms="http://purl.org/dc/terms/" xmlns:xsi="http://www.w3.org/2001/XMLSchema-instance" xsi:type="dcterms:W3CDTF">2026-06-10T00:33:26Z</dcterms:modified>
</cp:coreProperties>
</file>